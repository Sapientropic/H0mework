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5" sheetId="1" r:id="rId1"/>
    <sheet name="456" sheetId="2" r:id="rId2"/>
    <sheet name="34567" sheetId="3" r:id="rId3"/>
    <sheet name="2345678" sheetId="4" r:id="rId4"/>
    <sheet name="123456789" sheetId="5" r:id="rId5"/>
  </sheets>
  <calcPr calcId="152511"/>
</workbook>
</file>

<file path=xl/calcChain.xml><?xml version="1.0" encoding="utf-8"?>
<calcChain xmlns="http://schemas.openxmlformats.org/spreadsheetml/2006/main">
  <c r="R3" i="1" l="1"/>
  <c r="K32" i="5" l="1"/>
  <c r="L32" i="5" s="1"/>
  <c r="M32" i="5" s="1"/>
  <c r="D32" i="5"/>
  <c r="E32" i="5" s="1"/>
  <c r="F32" i="5" s="1"/>
  <c r="K26" i="5"/>
  <c r="K27" i="5" s="1"/>
  <c r="K28" i="5" s="1"/>
  <c r="C26" i="5"/>
  <c r="K25" i="5"/>
  <c r="C25" i="5"/>
  <c r="K24" i="5"/>
  <c r="C24" i="5"/>
  <c r="G16" i="5"/>
  <c r="C16" i="5"/>
  <c r="G15" i="5"/>
  <c r="C15" i="5"/>
  <c r="G14" i="5"/>
  <c r="C14" i="5"/>
  <c r="K10" i="5"/>
  <c r="C10" i="5"/>
  <c r="K9" i="5"/>
  <c r="C9" i="5"/>
  <c r="E9" i="5" s="1"/>
  <c r="F9" i="5" s="1"/>
  <c r="K8" i="5"/>
  <c r="C8" i="5"/>
  <c r="P3" i="5"/>
  <c r="L3" i="5"/>
  <c r="H3" i="5"/>
  <c r="D3" i="5"/>
  <c r="K32" i="4"/>
  <c r="L32" i="4" s="1"/>
  <c r="M32" i="4" s="1"/>
  <c r="D32" i="4"/>
  <c r="E32" i="4" s="1"/>
  <c r="F32" i="4" s="1"/>
  <c r="K26" i="4"/>
  <c r="C26" i="4"/>
  <c r="K25" i="4"/>
  <c r="C25" i="4"/>
  <c r="K24" i="4"/>
  <c r="C24" i="4"/>
  <c r="G16" i="4"/>
  <c r="C16" i="4"/>
  <c r="G15" i="4"/>
  <c r="C15" i="4"/>
  <c r="G14" i="4"/>
  <c r="C14" i="4"/>
  <c r="K10" i="4"/>
  <c r="C10" i="4"/>
  <c r="K9" i="4"/>
  <c r="C9" i="4"/>
  <c r="K8" i="4"/>
  <c r="C8" i="4"/>
  <c r="P3" i="4"/>
  <c r="L3" i="4"/>
  <c r="H3" i="4"/>
  <c r="D3" i="4"/>
  <c r="K32" i="3"/>
  <c r="L32" i="3" s="1"/>
  <c r="M32" i="3" s="1"/>
  <c r="D32" i="3"/>
  <c r="E32" i="3" s="1"/>
  <c r="F32" i="3" s="1"/>
  <c r="K26" i="3"/>
  <c r="C26" i="3"/>
  <c r="K25" i="3"/>
  <c r="C25" i="3"/>
  <c r="K24" i="3"/>
  <c r="C24" i="3"/>
  <c r="G16" i="3"/>
  <c r="C16" i="3"/>
  <c r="G15" i="3"/>
  <c r="C15" i="3"/>
  <c r="G14" i="3"/>
  <c r="C14" i="3"/>
  <c r="K10" i="3"/>
  <c r="C10" i="3"/>
  <c r="K9" i="3"/>
  <c r="C9" i="3"/>
  <c r="K8" i="3"/>
  <c r="C8" i="3"/>
  <c r="P3" i="3"/>
  <c r="L3" i="3"/>
  <c r="H3" i="3"/>
  <c r="D3" i="3"/>
  <c r="K32" i="2"/>
  <c r="L32" i="2" s="1"/>
  <c r="M32" i="2" s="1"/>
  <c r="D32" i="2"/>
  <c r="E32" i="2" s="1"/>
  <c r="F32" i="2" s="1"/>
  <c r="K26" i="2"/>
  <c r="C26" i="2"/>
  <c r="C27" i="2" s="1"/>
  <c r="C28" i="2" s="1"/>
  <c r="K25" i="2"/>
  <c r="C25" i="2"/>
  <c r="K24" i="2"/>
  <c r="C24" i="2"/>
  <c r="G16" i="2"/>
  <c r="C16" i="2"/>
  <c r="G15" i="2"/>
  <c r="C15" i="2"/>
  <c r="G14" i="2"/>
  <c r="C14" i="2"/>
  <c r="K10" i="2"/>
  <c r="C10" i="2"/>
  <c r="K9" i="2"/>
  <c r="C9" i="2"/>
  <c r="K8" i="2"/>
  <c r="C8" i="2"/>
  <c r="P3" i="2"/>
  <c r="L3" i="2"/>
  <c r="H3" i="2"/>
  <c r="D3" i="2"/>
  <c r="K32" i="1"/>
  <c r="L32" i="1" s="1"/>
  <c r="M32" i="1" s="1"/>
  <c r="D32" i="1"/>
  <c r="E32" i="1" s="1"/>
  <c r="F32" i="1" s="1"/>
  <c r="K26" i="1"/>
  <c r="C26" i="1"/>
  <c r="K25" i="1"/>
  <c r="C25" i="1"/>
  <c r="K24" i="1"/>
  <c r="C24" i="1"/>
  <c r="G16" i="1"/>
  <c r="C16" i="1"/>
  <c r="G15" i="1"/>
  <c r="C15" i="1"/>
  <c r="G14" i="1"/>
  <c r="C14" i="1"/>
  <c r="K10" i="1"/>
  <c r="C10" i="1"/>
  <c r="K9" i="1"/>
  <c r="C9" i="1"/>
  <c r="K8" i="1"/>
  <c r="C8" i="1"/>
  <c r="P3" i="1"/>
  <c r="L3" i="1"/>
  <c r="H3" i="1"/>
  <c r="D3" i="1"/>
  <c r="E9" i="1" l="1"/>
  <c r="F9" i="1" s="1"/>
  <c r="C17" i="1"/>
  <c r="C18" i="1" s="1"/>
  <c r="K27" i="2"/>
  <c r="K28" i="2" s="1"/>
  <c r="E9" i="2"/>
  <c r="F9" i="2" s="1"/>
  <c r="C27" i="5"/>
  <c r="C28" i="5" s="1"/>
  <c r="G17" i="5"/>
  <c r="G18" i="5" s="1"/>
  <c r="K27" i="4"/>
  <c r="K28" i="4" s="1"/>
  <c r="C17" i="3"/>
  <c r="C18" i="3" s="1"/>
  <c r="G17" i="3"/>
  <c r="G18" i="3" s="1"/>
  <c r="E9" i="3"/>
  <c r="F9" i="3" s="1"/>
  <c r="C17" i="5"/>
  <c r="C18" i="5" s="1"/>
  <c r="M9" i="5"/>
  <c r="N9" i="5" s="1"/>
  <c r="E9" i="4"/>
  <c r="F9" i="4" s="1"/>
  <c r="M9" i="4"/>
  <c r="N9" i="4" s="1"/>
  <c r="G17" i="4"/>
  <c r="G18" i="4" s="1"/>
  <c r="C17" i="4"/>
  <c r="C18" i="4" s="1"/>
  <c r="C27" i="4"/>
  <c r="C28" i="4" s="1"/>
  <c r="M9" i="3"/>
  <c r="N9" i="3" s="1"/>
  <c r="C27" i="3"/>
  <c r="C28" i="3" s="1"/>
  <c r="K27" i="3"/>
  <c r="K28" i="3" s="1"/>
  <c r="M9" i="2"/>
  <c r="N9" i="2" s="1"/>
  <c r="C17" i="2"/>
  <c r="C18" i="2" s="1"/>
  <c r="G17" i="2"/>
  <c r="G18" i="2" s="1"/>
  <c r="M9" i="1"/>
  <c r="N9" i="1" s="1"/>
  <c r="G17" i="1"/>
  <c r="G18" i="1" s="1"/>
  <c r="K27" i="1"/>
  <c r="K28" i="1" s="1"/>
  <c r="C27" i="1"/>
  <c r="C28" i="1" s="1"/>
</calcChain>
</file>

<file path=xl/sharedStrings.xml><?xml version="1.0" encoding="utf-8"?>
<sst xmlns="http://schemas.openxmlformats.org/spreadsheetml/2006/main" count="255" uniqueCount="22">
  <si>
    <t>ab</t>
  </si>
  <si>
    <t>ab'</t>
  </si>
  <si>
    <t>a'b</t>
  </si>
  <si>
    <t>a'b'</t>
  </si>
  <si>
    <t>NO SIGNALING TESTS USING IID ASSUMPTION</t>
  </si>
  <si>
    <t>Bob effect on Alice success prob when Alice=a</t>
  </si>
  <si>
    <t>Bob effect on Alice success prob when Alice=a'</t>
  </si>
  <si>
    <t>p1-hat</t>
  </si>
  <si>
    <t>z</t>
  </si>
  <si>
    <t>p-value</t>
  </si>
  <si>
    <t>p2-hat</t>
  </si>
  <si>
    <t>ppool</t>
  </si>
  <si>
    <t>Alice effect on Bob success prob when Bob=b</t>
  </si>
  <si>
    <t>Alice effect on Bob success prob when Bob=b'</t>
  </si>
  <si>
    <t>INDEPENDENCE OF SETTINGS USING IID ASSUMPTIONS</t>
  </si>
  <si>
    <t>Does Alice's choice of setting influence Bob's setting probabilities?</t>
  </si>
  <si>
    <t>Does Bob's choice of setting influence Alice's setting probabilities?</t>
  </si>
  <si>
    <t>TESTING WHETHER INDIVIDUAL SETTING PROBABILTIES = 1/2</t>
  </si>
  <si>
    <t>P(a)</t>
  </si>
  <si>
    <t>P(b)</t>
  </si>
  <si>
    <t>Alice = 1/2 ?</t>
  </si>
  <si>
    <t>Bob=1/2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</si>
</sst>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O13" sqref="O13"/>
    </sheetView>
  </sheetViews>
  <sheetFormatPr defaultRowHeight="15" x14ac:dyDescent="0.25"/>
  <cols>
    <col min="4" max="4" width="12.5703125" customWidth="1"/>
  </cols>
  <sheetData>
    <row r="1" spans="1:18" x14ac:dyDescent="0.25">
      <c r="A1">
        <v>1302</v>
      </c>
      <c r="B1">
        <v>657</v>
      </c>
      <c r="C1">
        <v>620</v>
      </c>
      <c r="D1">
        <v>45541866</v>
      </c>
      <c r="E1">
        <v>1458</v>
      </c>
      <c r="F1">
        <v>578</v>
      </c>
      <c r="G1">
        <v>4723</v>
      </c>
      <c r="H1">
        <v>45531902</v>
      </c>
      <c r="I1">
        <v>1323</v>
      </c>
      <c r="J1">
        <v>4501</v>
      </c>
      <c r="K1">
        <v>576</v>
      </c>
      <c r="L1">
        <v>45520707</v>
      </c>
      <c r="M1">
        <v>11</v>
      </c>
      <c r="N1">
        <v>5850</v>
      </c>
      <c r="O1">
        <v>6245</v>
      </c>
      <c r="P1">
        <v>45514713</v>
      </c>
    </row>
    <row r="3" spans="1:18" x14ac:dyDescent="0.25">
      <c r="C3" t="s">
        <v>0</v>
      </c>
      <c r="D3">
        <f>SUM(A$1:D1)</f>
        <v>45544445</v>
      </c>
      <c r="G3" t="s">
        <v>1</v>
      </c>
      <c r="H3">
        <f>SUM(E$1:H1)</f>
        <v>45538661</v>
      </c>
      <c r="K3" t="s">
        <v>2</v>
      </c>
      <c r="L3">
        <f>SUM(I$1:L1)</f>
        <v>45527107</v>
      </c>
      <c r="O3" t="s">
        <v>3</v>
      </c>
      <c r="P3">
        <f>SUM(M$1:P1)</f>
        <v>45526819</v>
      </c>
      <c r="R3">
        <f>D3+H3+L3+P3</f>
        <v>182137032</v>
      </c>
    </row>
    <row r="5" spans="1:18" x14ac:dyDescent="0.25">
      <c r="A5" t="s">
        <v>4</v>
      </c>
    </row>
    <row r="6" spans="1:18" x14ac:dyDescent="0.25">
      <c r="A6" t="s">
        <v>5</v>
      </c>
      <c r="I6" t="s">
        <v>6</v>
      </c>
    </row>
    <row r="8" spans="1:18" x14ac:dyDescent="0.25">
      <c r="B8" t="s">
        <v>7</v>
      </c>
      <c r="C8">
        <f>SUM(A$1:B1)/SUM(A$1:D1)</f>
        <v>4.3012929458246771E-5</v>
      </c>
      <c r="E8" t="s">
        <v>8</v>
      </c>
      <c r="F8" t="s">
        <v>9</v>
      </c>
      <c r="J8" t="s">
        <v>7</v>
      </c>
      <c r="K8">
        <f>SUM(I$1:J1)/SUM(I$1:L1)</f>
        <v>1.2792378834877428E-4</v>
      </c>
      <c r="M8" t="s">
        <v>8</v>
      </c>
      <c r="N8" t="s">
        <v>9</v>
      </c>
    </row>
    <row r="9" spans="1:18" x14ac:dyDescent="0.25">
      <c r="B9" t="s">
        <v>10</v>
      </c>
      <c r="C9">
        <f>SUM(E$1:F1)/SUM(E$1:H1)</f>
        <v>4.4709263629863865E-5</v>
      </c>
      <c r="E9">
        <f>(C8-C9)/((C10*(1-C10)*(1/$D3+1/$H3))^(1/2))</f>
        <v>-1.2222790806853525</v>
      </c>
      <c r="F9">
        <f>(1-_xlfn.NORM.DIST(ABS(E9),0,1,TRUE))*2</f>
        <v>0.22160210735091157</v>
      </c>
      <c r="J9" t="s">
        <v>10</v>
      </c>
      <c r="K9">
        <f>SUM(M$1:N1)/SUM(M$1:P1)</f>
        <v>1.2873730536719466E-4</v>
      </c>
      <c r="M9">
        <f>(K8-K9)/((K10*(1-K10)*(1/$D3+1/$H3))^(1/2))</f>
        <v>-0.3427033976624323</v>
      </c>
      <c r="N9">
        <f>(1-_xlfn.NORM.DIST(ABS(M9),0,1,TRUE))*2</f>
        <v>0.73182160638856075</v>
      </c>
    </row>
    <row r="10" spans="1:18" x14ac:dyDescent="0.25">
      <c r="B10" t="s">
        <v>11</v>
      </c>
      <c r="C10">
        <f>(SUM(A$1:B1)+SUM(E$1:F1))/SUM(A$1:H1)</f>
        <v>4.3861042683370943E-5</v>
      </c>
      <c r="J10" t="s">
        <v>11</v>
      </c>
      <c r="K10">
        <f>(SUM(I$1:J1)+SUM(M$1:N1))/SUM(I$1:P1)</f>
        <v>1.2833054557142326E-4</v>
      </c>
    </row>
    <row r="12" spans="1:18" x14ac:dyDescent="0.25">
      <c r="A12" t="s">
        <v>12</v>
      </c>
      <c r="F12" t="s">
        <v>13</v>
      </c>
    </row>
    <row r="14" spans="1:18" x14ac:dyDescent="0.25">
      <c r="B14" t="s">
        <v>7</v>
      </c>
      <c r="C14">
        <f>(SUM(A$1:A1)+SUM(C$1:C1))/SUM(A$1:D1)</f>
        <v>4.2200536201506023E-5</v>
      </c>
      <c r="F14" t="s">
        <v>7</v>
      </c>
      <c r="G14">
        <f>(SUM(E$1:E1)+SUM(G$1:G1))/SUM(E$1:H1)</f>
        <v>1.35730824408737E-4</v>
      </c>
    </row>
    <row r="15" spans="1:18" x14ac:dyDescent="0.25">
      <c r="B15" t="s">
        <v>10</v>
      </c>
      <c r="C15">
        <f>(SUM(I$1:I1)+SUM(K$1:K1))/SUM(I$1:L1)</f>
        <v>4.1711413817706448E-5</v>
      </c>
      <c r="F15" t="s">
        <v>10</v>
      </c>
      <c r="G15">
        <f>(SUM(M$1:M1)+SUM(O$1:O1))/SUM(M$1:P1)</f>
        <v>1.3741351004558435E-4</v>
      </c>
    </row>
    <row r="16" spans="1:18" x14ac:dyDescent="0.25">
      <c r="B16" t="s">
        <v>11</v>
      </c>
      <c r="C16">
        <f>(SUM(A$1:A1)+SUM(C$1:C1)+SUM(I$1:I1)+SUM(K$1:K1))/(SUM(A$1:D1)+SUM(I$1:L1))</f>
        <v>4.1956021568623314E-5</v>
      </c>
      <c r="F16" t="s">
        <v>11</v>
      </c>
      <c r="G16">
        <f>(SUM(E$1:E1)+SUM(G$1:G1)+SUM(M$1:M1)+SUM(O$1:O1))/(SUM(E$1:H1)+SUM(M$1:P1))</f>
        <v>1.3657205782037276E-4</v>
      </c>
    </row>
    <row r="17" spans="1:13" x14ac:dyDescent="0.25">
      <c r="B17" t="s">
        <v>8</v>
      </c>
      <c r="C17">
        <f>(C14-C15)/((C16*(1-C16)*(1/$D3+1/$H3))^(1/2))</f>
        <v>0.36034493187420663</v>
      </c>
      <c r="F17" t="s">
        <v>8</v>
      </c>
      <c r="G17">
        <f>(G14-G15)/((G16*(1-G16)*(1/$D3+1/$H3))^(1/2))</f>
        <v>-0.68713273489056759</v>
      </c>
    </row>
    <row r="18" spans="1:13" x14ac:dyDescent="0.25">
      <c r="B18" t="s">
        <v>9</v>
      </c>
      <c r="C18">
        <f>(1-_xlfn.NORM.DIST(ABS(C17),0,1,TRUE))*2</f>
        <v>0.7185892022120437</v>
      </c>
      <c r="F18" t="s">
        <v>9</v>
      </c>
      <c r="G18">
        <f>(1-_xlfn.NORM.DIST(ABS(G17),0,1,TRUE))*2</f>
        <v>0.49199908754598143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0.50003175122288868</v>
      </c>
      <c r="J24" t="s">
        <v>7</v>
      </c>
      <c r="K24">
        <f>SUM(A$1:D1)/(SUM(A$1:D1)+SUM(I$1:L1))</f>
        <v>0.5000951888905989</v>
      </c>
    </row>
    <row r="25" spans="1:13" x14ac:dyDescent="0.25">
      <c r="B25" t="s">
        <v>10</v>
      </c>
      <c r="C25">
        <f>SUM(I$1:L1)/SUM(I$1:P1)</f>
        <v>0.50000158148040752</v>
      </c>
      <c r="J25" t="s">
        <v>10</v>
      </c>
      <c r="K25">
        <f>SUM(E$1:H1)/(SUM(E$1:H1)+SUM(M$1:P1))</f>
        <v>0.50006501914885859</v>
      </c>
    </row>
    <row r="26" spans="1:13" x14ac:dyDescent="0.25">
      <c r="B26" t="s">
        <v>11</v>
      </c>
      <c r="C26">
        <f>(SUM(A$1:D1)+SUM(I$1:L1))/SUM(A$1:P1)</f>
        <v>0.50001666876838091</v>
      </c>
      <c r="J26" t="s">
        <v>11</v>
      </c>
      <c r="K26">
        <f>(SUM(A$1:D1)+SUM(E$1:H1))/SUM(A$1:P1)</f>
        <v>0.50008010452262119</v>
      </c>
    </row>
    <row r="27" spans="1:13" x14ac:dyDescent="0.25">
      <c r="B27" t="s">
        <v>8</v>
      </c>
      <c r="C27">
        <f>(C24-C25)/((C26*(1-C26)*(1/SUM(A$1:H1)+1/SUM(I$1:P1)))^(1/2))</f>
        <v>0.40716526872691688</v>
      </c>
      <c r="J27" t="s">
        <v>8</v>
      </c>
      <c r="K27">
        <f>(K24-K25)/((K26*(1-K26)*(1/(SUM(A$1:D1)+SUM(I$1:L1))+1/(SUM(E$1:H1)+SUM(M$1:P1))))^(1/2))</f>
        <v>0.40716526872668335</v>
      </c>
    </row>
    <row r="28" spans="1:13" x14ac:dyDescent="0.25">
      <c r="B28" t="s">
        <v>9</v>
      </c>
      <c r="C28">
        <f>(1-_xlfn.NORM.DIST(ABS(C27),0,1,TRUE))*2</f>
        <v>0.68388660853598537</v>
      </c>
      <c r="J28" t="s">
        <v>9</v>
      </c>
      <c r="K28">
        <f>(1-_xlfn.NORM.DIST(ABS(K27),0,1,TRUE))*2</f>
        <v>0.68388660853615679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0.50008010452262119</v>
      </c>
      <c r="E32">
        <f>(D32-1/2)*2*((SUM(A$1:P1))^(1/2))</f>
        <v>2.1621516922207897</v>
      </c>
      <c r="F32">
        <f>(1-_xlfn.NORM.DIST(ABS(E32),0,1,TRUE))*2</f>
        <v>3.0606485695514385E-2</v>
      </c>
      <c r="I32" t="s">
        <v>21</v>
      </c>
      <c r="K32">
        <f>(SUM(A$1:D1)+SUM(I$1:L1))/SUM(A$1:P1)</f>
        <v>0.50001666876838091</v>
      </c>
      <c r="L32">
        <f>(K32-1/2)*2*((SUM(A$1:P1))^(1/2))</f>
        <v>0.44991724040921532</v>
      </c>
      <c r="M32">
        <f>(1-_xlfn.NORM.DIST(ABS(L32),0,1,TRUE))*2</f>
        <v>0.65277011581473254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3935</v>
      </c>
      <c r="B1">
        <v>2013</v>
      </c>
      <c r="C1">
        <v>1877</v>
      </c>
      <c r="D1">
        <v>45536620</v>
      </c>
      <c r="E1">
        <v>4216</v>
      </c>
      <c r="F1">
        <v>1742</v>
      </c>
      <c r="G1">
        <v>14279</v>
      </c>
      <c r="H1">
        <v>45518424</v>
      </c>
      <c r="I1">
        <v>3981</v>
      </c>
      <c r="J1">
        <v>13344</v>
      </c>
      <c r="K1">
        <v>1737</v>
      </c>
      <c r="L1">
        <v>45508045</v>
      </c>
      <c r="M1">
        <v>61</v>
      </c>
      <c r="N1">
        <v>17232</v>
      </c>
      <c r="O1">
        <v>18545</v>
      </c>
      <c r="P1">
        <v>45490981</v>
      </c>
    </row>
    <row r="3" spans="1:16" x14ac:dyDescent="0.25">
      <c r="C3" t="s">
        <v>0</v>
      </c>
      <c r="D3">
        <f>SUM(A$1:D1)</f>
        <v>45544445</v>
      </c>
      <c r="G3" t="s">
        <v>1</v>
      </c>
      <c r="H3">
        <f>SUM(E$1:H1)</f>
        <v>45538661</v>
      </c>
      <c r="K3" t="s">
        <v>2</v>
      </c>
      <c r="L3">
        <f>SUM(I$1:L1)</f>
        <v>45527107</v>
      </c>
      <c r="O3" t="s">
        <v>3</v>
      </c>
      <c r="P3">
        <f>SUM(M$1:P1)</f>
        <v>45526819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1.305977051647023E-4</v>
      </c>
      <c r="E8" t="s">
        <v>8</v>
      </c>
      <c r="F8" t="s">
        <v>9</v>
      </c>
      <c r="J8" t="s">
        <v>7</v>
      </c>
      <c r="K8">
        <f>SUM(I$1:J1)/SUM(I$1:L1)</f>
        <v>3.8054251942694275E-4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1.3083388639819691E-4</v>
      </c>
      <c r="E9">
        <f>(C8-C9)/((C10*(1-C10)*(1/$D3+1/$H3))^(1/2))</f>
        <v>-9.8582237082268931E-2</v>
      </c>
      <c r="F9">
        <f>(1-_xlfn.NORM.DIST(ABS(E9),0,1,TRUE))*2</f>
        <v>0.92146997406593512</v>
      </c>
      <c r="J9" t="s">
        <v>10</v>
      </c>
      <c r="K9">
        <f>SUM(M$1:N1)/SUM(M$1:P1)</f>
        <v>3.7984204431238652E-4</v>
      </c>
      <c r="M9">
        <f>(K8-K9)/((K10*(1-K10)*(1/$D3+1/$H3))^(1/2))</f>
        <v>0.17145989563410366</v>
      </c>
      <c r="N9">
        <f>(1-_xlfn.NORM.DIST(ABS(M9),0,1,TRUE))*2</f>
        <v>0.86386216207166977</v>
      </c>
    </row>
    <row r="10" spans="1:16" x14ac:dyDescent="0.25">
      <c r="B10" t="s">
        <v>11</v>
      </c>
      <c r="C10">
        <f>(SUM(A$1:B1)+SUM(E$1:F1))/SUM(A$1:H1)</f>
        <v>1.3071578828240661E-4</v>
      </c>
      <c r="J10" t="s">
        <v>11</v>
      </c>
      <c r="K10">
        <f>(SUM(I$1:J1)+SUM(M$1:N1))/SUM(I$1:P1)</f>
        <v>3.801922829774523E-4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1.2761161103181737E-4</v>
      </c>
      <c r="F14" t="s">
        <v>7</v>
      </c>
      <c r="G14">
        <f>(SUM(E$1:E1)+SUM(G$1:G1))/SUM(E$1:H1)</f>
        <v>4.061384237889647E-4</v>
      </c>
    </row>
    <row r="15" spans="1:16" x14ac:dyDescent="0.25">
      <c r="B15" t="s">
        <v>10</v>
      </c>
      <c r="C15">
        <f>(SUM(I$1:I1)+SUM(K$1:K1))/SUM(I$1:L1)</f>
        <v>1.2559550511303079E-4</v>
      </c>
      <c r="F15" t="s">
        <v>10</v>
      </c>
      <c r="G15">
        <f>(SUM(M$1:M1)+SUM(O$1:O1))/SUM(M$1:P1)</f>
        <v>4.0868218796485652E-4</v>
      </c>
    </row>
    <row r="16" spans="1:16" x14ac:dyDescent="0.25">
      <c r="B16" t="s">
        <v>11</v>
      </c>
      <c r="C16">
        <f>(SUM(A$1:A1)+SUM(C$1:C1)+SUM(I$1:I1)+SUM(K$1:K1))/(SUM(A$1:D1)+SUM(I$1:L1))</f>
        <v>1.2660374998330984E-4</v>
      </c>
      <c r="F16" t="s">
        <v>11</v>
      </c>
      <c r="G16">
        <f>(SUM(E$1:E1)+SUM(G$1:G1)+SUM(M$1:M1)+SUM(O$1:O1))/(SUM(E$1:H1)+SUM(M$1:P1))</f>
        <v>4.0741014048352898E-4</v>
      </c>
    </row>
    <row r="17" spans="1:13" x14ac:dyDescent="0.25">
      <c r="B17" t="s">
        <v>8</v>
      </c>
      <c r="C17">
        <f>(C14-C15)/((C16*(1-C16)*(1/$D3+1/$H3))^(1/2))</f>
        <v>0.855079456718144</v>
      </c>
      <c r="F17" t="s">
        <v>8</v>
      </c>
      <c r="G17">
        <f>(G14-G15)/((G16*(1-G16)*(1/$D3+1/$H3))^(1/2))</f>
        <v>-0.60150374419185781</v>
      </c>
    </row>
    <row r="18" spans="1:13" x14ac:dyDescent="0.25">
      <c r="B18" t="s">
        <v>9</v>
      </c>
      <c r="C18">
        <f>(1-_xlfn.NORM.DIST(ABS(C17),0,1,TRUE))*2</f>
        <v>0.39250716160724153</v>
      </c>
      <c r="F18" t="s">
        <v>9</v>
      </c>
      <c r="G18">
        <f>(1-_xlfn.NORM.DIST(ABS(G17),0,1,TRUE))*2</f>
        <v>0.54750451872107875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0.50003175122288868</v>
      </c>
      <c r="J24" t="s">
        <v>7</v>
      </c>
      <c r="K24">
        <f>SUM(A$1:D1)/(SUM(A$1:D1)+SUM(I$1:L1))</f>
        <v>0.5000951888905989</v>
      </c>
    </row>
    <row r="25" spans="1:13" x14ac:dyDescent="0.25">
      <c r="B25" t="s">
        <v>10</v>
      </c>
      <c r="C25">
        <f>SUM(I$1:L1)/SUM(I$1:P1)</f>
        <v>0.50000158148040752</v>
      </c>
      <c r="J25" t="s">
        <v>10</v>
      </c>
      <c r="K25">
        <f>SUM(E$1:H1)/(SUM(E$1:H1)+SUM(M$1:P1))</f>
        <v>0.50006501914885859</v>
      </c>
    </row>
    <row r="26" spans="1:13" x14ac:dyDescent="0.25">
      <c r="B26" t="s">
        <v>11</v>
      </c>
      <c r="C26">
        <f>(SUM(A$1:D1)+SUM(I$1:L1))/SUM(A$1:P1)</f>
        <v>0.50001666876838091</v>
      </c>
      <c r="J26" t="s">
        <v>11</v>
      </c>
      <c r="K26">
        <f>(SUM(A$1:D1)+SUM(E$1:H1))/SUM(A$1:P1)</f>
        <v>0.50008010452262119</v>
      </c>
    </row>
    <row r="27" spans="1:13" x14ac:dyDescent="0.25">
      <c r="B27" t="s">
        <v>8</v>
      </c>
      <c r="C27">
        <f>(C24-C25)/((C26*(1-C26)*(1/SUM(A$1:H1)+1/SUM(I$1:P1)))^(1/2))</f>
        <v>0.40716526872691688</v>
      </c>
      <c r="J27" t="s">
        <v>8</v>
      </c>
      <c r="K27">
        <f>(K24-K25)/((K26*(1-K26)*(1/(SUM(A$1:D1)+SUM(I$1:L1))+1/(SUM(E$1:H1)+SUM(M$1:P1))))^(1/2))</f>
        <v>0.40716526872668335</v>
      </c>
    </row>
    <row r="28" spans="1:13" x14ac:dyDescent="0.25">
      <c r="B28" t="s">
        <v>9</v>
      </c>
      <c r="C28">
        <f>(1-_xlfn.NORM.DIST(ABS(C27),0,1,TRUE))*2</f>
        <v>0.68388660853598537</v>
      </c>
      <c r="J28" t="s">
        <v>9</v>
      </c>
      <c r="K28">
        <f>(1-_xlfn.NORM.DIST(ABS(K27),0,1,TRUE))*2</f>
        <v>0.68388660853615679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0.50008010452262119</v>
      </c>
      <c r="E32">
        <f>(D32-1/2)*2*((SUM(A$1:P1))^(1/2))</f>
        <v>2.1621516922207897</v>
      </c>
      <c r="F32">
        <f>(1-_xlfn.NORM.DIST(ABS(E32),0,1,TRUE))*2</f>
        <v>3.0606485695514385E-2</v>
      </c>
      <c r="I32" t="s">
        <v>21</v>
      </c>
      <c r="K32">
        <f>(SUM(A$1:D1)+SUM(I$1:L1))/SUM(A$1:P1)</f>
        <v>0.50001666876838091</v>
      </c>
      <c r="L32">
        <f>(K32-1/2)*2*((SUM(A$1:P1))^(1/2))</f>
        <v>0.44991724040921532</v>
      </c>
      <c r="M32">
        <f>(1-_xlfn.NORM.DIST(ABS(L32),0,1,TRUE))*2</f>
        <v>0.65277011581473254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6541</v>
      </c>
      <c r="B1">
        <v>3384</v>
      </c>
      <c r="C1">
        <v>3226</v>
      </c>
      <c r="D1">
        <v>45531294</v>
      </c>
      <c r="E1">
        <v>6955</v>
      </c>
      <c r="F1">
        <v>2891</v>
      </c>
      <c r="G1">
        <v>23836</v>
      </c>
      <c r="H1">
        <v>45504979</v>
      </c>
      <c r="I1">
        <v>6645</v>
      </c>
      <c r="J1">
        <v>21977</v>
      </c>
      <c r="K1">
        <v>2899</v>
      </c>
      <c r="L1">
        <v>45495586</v>
      </c>
      <c r="M1">
        <v>108</v>
      </c>
      <c r="N1">
        <v>28334</v>
      </c>
      <c r="O1">
        <v>30793</v>
      </c>
      <c r="P1">
        <v>45467584</v>
      </c>
    </row>
    <row r="3" spans="1:16" x14ac:dyDescent="0.25">
      <c r="C3" t="s">
        <v>0</v>
      </c>
      <c r="D3">
        <f>SUM(A$1:D1)</f>
        <v>45544445</v>
      </c>
      <c r="G3" t="s">
        <v>1</v>
      </c>
      <c r="H3">
        <f>SUM(E$1:H1)</f>
        <v>45538661</v>
      </c>
      <c r="K3" t="s">
        <v>2</v>
      </c>
      <c r="L3">
        <f>SUM(I$1:L1)</f>
        <v>45527107</v>
      </c>
      <c r="O3" t="s">
        <v>3</v>
      </c>
      <c r="P3">
        <f>SUM(M$1:P1)</f>
        <v>45526819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2.1791900197707975E-4</v>
      </c>
      <c r="E8" t="s">
        <v>8</v>
      </c>
      <c r="F8" t="s">
        <v>9</v>
      </c>
      <c r="J8" t="s">
        <v>7</v>
      </c>
      <c r="K8">
        <f>SUM(I$1:J1)/SUM(I$1:L1)</f>
        <v>6.2868040352311429E-4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2.1621189081514716E-4</v>
      </c>
      <c r="E9">
        <f>(C8-C9)/((C10*(1-C10)*(1/$D3+1/$H3))^(1/2))</f>
        <v>0.55297113224450967</v>
      </c>
      <c r="F9">
        <f>(1-_xlfn.NORM.DIST(ABS(E9),0,1,TRUE))*2</f>
        <v>0.5802831776324604</v>
      </c>
      <c r="J9" t="s">
        <v>10</v>
      </c>
      <c r="K9">
        <f>SUM(M$1:N1)/SUM(M$1:P1)</f>
        <v>6.2473066699432706E-4</v>
      </c>
      <c r="M9">
        <f>(K8-K9)/((K10*(1-K10)*(1/$D3+1/$H3))^(1/2))</f>
        <v>0.75311519235885793</v>
      </c>
      <c r="N9">
        <f>(1-_xlfn.NORM.DIST(ABS(M9),0,1,TRUE))*2</f>
        <v>0.45138069579567852</v>
      </c>
    </row>
    <row r="10" spans="1:16" x14ac:dyDescent="0.25">
      <c r="B10" t="s">
        <v>11</v>
      </c>
      <c r="C10">
        <f>(SUM(A$1:B1)+SUM(E$1:F1))/SUM(A$1:H1)</f>
        <v>2.1706550059898046E-4</v>
      </c>
      <c r="J10" t="s">
        <v>11</v>
      </c>
      <c r="K10">
        <f>(SUM(I$1:J1)+SUM(M$1:N1))/SUM(I$1:P1)</f>
        <v>6.2670554150515156E-4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2.1444986320505167E-4</v>
      </c>
      <c r="F14" t="s">
        <v>7</v>
      </c>
      <c r="G14">
        <f>(SUM(E$1:E1)+SUM(G$1:G1))/SUM(E$1:H1)</f>
        <v>6.761507546302251E-4</v>
      </c>
    </row>
    <row r="15" spans="1:16" x14ac:dyDescent="0.25">
      <c r="B15" t="s">
        <v>10</v>
      </c>
      <c r="C15">
        <f>(SUM(I$1:I1)+SUM(K$1:K1))/SUM(I$1:L1)</f>
        <v>2.0963335096165896E-4</v>
      </c>
      <c r="F15" t="s">
        <v>10</v>
      </c>
      <c r="G15">
        <f>(SUM(M$1:M1)+SUM(O$1:O1))/SUM(M$1:P1)</f>
        <v>6.7874278675169469E-4</v>
      </c>
    </row>
    <row r="16" spans="1:16" x14ac:dyDescent="0.25">
      <c r="B16" t="s">
        <v>11</v>
      </c>
      <c r="C16">
        <f>(SUM(A$1:A1)+SUM(C$1:C1)+SUM(I$1:I1)+SUM(K$1:K1))/(SUM(A$1:D1)+SUM(I$1:L1))</f>
        <v>2.1204206556181231E-4</v>
      </c>
      <c r="F16" t="s">
        <v>11</v>
      </c>
      <c r="G16">
        <f>(SUM(E$1:E1)+SUM(G$1:G1)+SUM(M$1:M1)+SUM(O$1:O1))/(SUM(E$1:H1)+SUM(M$1:P1))</f>
        <v>6.7744660215923746E-4</v>
      </c>
    </row>
    <row r="17" spans="1:13" x14ac:dyDescent="0.25">
      <c r="B17" t="s">
        <v>8</v>
      </c>
      <c r="C17">
        <f>(C14-C15)/((C16*(1-C16)*(1/$D3+1/$H3))^(1/2))</f>
        <v>1.5785437540849128</v>
      </c>
      <c r="F17" t="s">
        <v>8</v>
      </c>
      <c r="G17">
        <f>(G14-G15)/((G16*(1-G16)*(1/$D3+1/$H3))^(1/2))</f>
        <v>-0.47537782546026297</v>
      </c>
    </row>
    <row r="18" spans="1:13" x14ac:dyDescent="0.25">
      <c r="B18" t="s">
        <v>9</v>
      </c>
      <c r="C18">
        <f>(1-_xlfn.NORM.DIST(ABS(C17),0,1,TRUE))*2</f>
        <v>0.11444074461039433</v>
      </c>
      <c r="F18" t="s">
        <v>9</v>
      </c>
      <c r="G18">
        <f>(1-_xlfn.NORM.DIST(ABS(G17),0,1,TRUE))*2</f>
        <v>0.63451769678190639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0.50003175122288868</v>
      </c>
      <c r="J24" t="s">
        <v>7</v>
      </c>
      <c r="K24">
        <f>SUM(A$1:D1)/(SUM(A$1:D1)+SUM(I$1:L1))</f>
        <v>0.5000951888905989</v>
      </c>
    </row>
    <row r="25" spans="1:13" x14ac:dyDescent="0.25">
      <c r="B25" t="s">
        <v>10</v>
      </c>
      <c r="C25">
        <f>SUM(I$1:L1)/SUM(I$1:P1)</f>
        <v>0.50000158148040752</v>
      </c>
      <c r="J25" t="s">
        <v>10</v>
      </c>
      <c r="K25">
        <f>SUM(E$1:H1)/(SUM(E$1:H1)+SUM(M$1:P1))</f>
        <v>0.50006501914885859</v>
      </c>
    </row>
    <row r="26" spans="1:13" x14ac:dyDescent="0.25">
      <c r="B26" t="s">
        <v>11</v>
      </c>
      <c r="C26">
        <f>(SUM(A$1:D1)+SUM(I$1:L1))/SUM(A$1:P1)</f>
        <v>0.50001666876838091</v>
      </c>
      <c r="J26" t="s">
        <v>11</v>
      </c>
      <c r="K26">
        <f>(SUM(A$1:D1)+SUM(E$1:H1))/SUM(A$1:P1)</f>
        <v>0.50008010452262119</v>
      </c>
    </row>
    <row r="27" spans="1:13" x14ac:dyDescent="0.25">
      <c r="B27" t="s">
        <v>8</v>
      </c>
      <c r="C27">
        <f>(C24-C25)/((C26*(1-C26)*(1/SUM(A$1:H1)+1/SUM(I$1:P1)))^(1/2))</f>
        <v>0.40716526872691688</v>
      </c>
      <c r="J27" t="s">
        <v>8</v>
      </c>
      <c r="K27">
        <f>(K24-K25)/((K26*(1-K26)*(1/(SUM(A$1:D1)+SUM(I$1:L1))+1/(SUM(E$1:H1)+SUM(M$1:P1))))^(1/2))</f>
        <v>0.40716526872668335</v>
      </c>
    </row>
    <row r="28" spans="1:13" x14ac:dyDescent="0.25">
      <c r="B28" t="s">
        <v>9</v>
      </c>
      <c r="C28">
        <f>(1-_xlfn.NORM.DIST(ABS(C27),0,1,TRUE))*2</f>
        <v>0.68388660853598537</v>
      </c>
      <c r="J28" t="s">
        <v>9</v>
      </c>
      <c r="K28">
        <f>(1-_xlfn.NORM.DIST(ABS(K27),0,1,TRUE))*2</f>
        <v>0.68388660853615679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0.50008010452262119</v>
      </c>
      <c r="E32">
        <f>(D32-1/2)*2*((SUM(A$1:P1))^(1/2))</f>
        <v>2.1621516922207897</v>
      </c>
      <c r="F32">
        <f>(1-_xlfn.NORM.DIST(ABS(E32),0,1,TRUE))*2</f>
        <v>3.0606485695514385E-2</v>
      </c>
      <c r="I32" t="s">
        <v>21</v>
      </c>
      <c r="K32">
        <f>(SUM(A$1:D1)+SUM(I$1:L1))/SUM(A$1:P1)</f>
        <v>0.50001666876838091</v>
      </c>
      <c r="L32">
        <f>(K32-1/2)*2*((SUM(A$1:P1))^(1/2))</f>
        <v>0.44991724040921532</v>
      </c>
      <c r="M32">
        <f>(1-_xlfn.NORM.DIST(ABS(L32),0,1,TRUE))*2</f>
        <v>0.65277011581473254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9029</v>
      </c>
      <c r="B1">
        <v>4755</v>
      </c>
      <c r="C1">
        <v>4541</v>
      </c>
      <c r="D1">
        <v>45526120</v>
      </c>
      <c r="E1">
        <v>9724</v>
      </c>
      <c r="F1">
        <v>4042</v>
      </c>
      <c r="G1">
        <v>33488</v>
      </c>
      <c r="H1">
        <v>45491407</v>
      </c>
      <c r="I1">
        <v>9454</v>
      </c>
      <c r="J1">
        <v>30824</v>
      </c>
      <c r="K1">
        <v>4136</v>
      </c>
      <c r="L1">
        <v>45482693</v>
      </c>
      <c r="M1">
        <v>161</v>
      </c>
      <c r="N1">
        <v>39603</v>
      </c>
      <c r="O1">
        <v>43061</v>
      </c>
      <c r="P1">
        <v>45443994</v>
      </c>
    </row>
    <row r="3" spans="1:16" x14ac:dyDescent="0.25">
      <c r="C3" t="s">
        <v>0</v>
      </c>
      <c r="D3">
        <f>SUM(A$1:D1)</f>
        <v>45544445</v>
      </c>
      <c r="G3" t="s">
        <v>1</v>
      </c>
      <c r="H3">
        <f>SUM(E$1:H1)</f>
        <v>45538661</v>
      </c>
      <c r="K3" t="s">
        <v>2</v>
      </c>
      <c r="L3">
        <f>SUM(I$1:L1)</f>
        <v>45527107</v>
      </c>
      <c r="O3" t="s">
        <v>3</v>
      </c>
      <c r="P3">
        <f>SUM(M$1:P1)</f>
        <v>45526819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3.0264942299768939E-4</v>
      </c>
      <c r="E8" t="s">
        <v>8</v>
      </c>
      <c r="F8" t="s">
        <v>9</v>
      </c>
      <c r="J8" t="s">
        <v>7</v>
      </c>
      <c r="K8">
        <f>SUM(I$1:J1)/SUM(I$1:L1)</f>
        <v>8.8470369971015291E-4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3.0229259485692827E-4</v>
      </c>
      <c r="E9">
        <f>(C8-C9)/((C10*(1-C10)*(1/$D3+1/$H3))^(1/2))</f>
        <v>9.7920093973934044E-2</v>
      </c>
      <c r="F9">
        <f>(1-_xlfn.NORM.DIST(ABS(E9),0,1,TRUE))*2</f>
        <v>0.92199574398026263</v>
      </c>
      <c r="J9" t="s">
        <v>10</v>
      </c>
      <c r="K9">
        <f>SUM(M$1:N1)/SUM(M$1:P1)</f>
        <v>8.7341924767465082E-4</v>
      </c>
      <c r="M9">
        <f>(K8-K9)/((K10*(1-K10)*(1/$D3+1/$H3))^(1/2))</f>
        <v>1.8169824656116318</v>
      </c>
      <c r="N9">
        <f>(1-_xlfn.NORM.DIST(ABS(M9),0,1,TRUE))*2</f>
        <v>6.9219798247335262E-2</v>
      </c>
    </row>
    <row r="10" spans="1:16" x14ac:dyDescent="0.25">
      <c r="B10" t="s">
        <v>11</v>
      </c>
      <c r="C10">
        <f>(SUM(A$1:B1)+SUM(E$1:F1))/SUM(A$1:H1)</f>
        <v>3.0247102025703868E-4</v>
      </c>
      <c r="J10" t="s">
        <v>11</v>
      </c>
      <c r="K10">
        <f>(SUM(I$1:J1)+SUM(M$1:N1))/SUM(I$1:P1)</f>
        <v>8.7906149153854163E-4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2.9795071605329696E-4</v>
      </c>
      <c r="F14" t="s">
        <v>7</v>
      </c>
      <c r="G14">
        <f>(SUM(E$1:E1)+SUM(G$1:G1))/SUM(E$1:H1)</f>
        <v>9.4890800588098097E-4</v>
      </c>
    </row>
    <row r="15" spans="1:16" x14ac:dyDescent="0.25">
      <c r="B15" t="s">
        <v>10</v>
      </c>
      <c r="C15">
        <f>(SUM(I$1:I1)+SUM(K$1:K1))/SUM(I$1:L1)</f>
        <v>2.9850348277126414E-4</v>
      </c>
      <c r="F15" t="s">
        <v>10</v>
      </c>
      <c r="G15">
        <f>(SUM(M$1:M1)+SUM(O$1:O1))/SUM(M$1:P1)</f>
        <v>9.493744774920471E-4</v>
      </c>
    </row>
    <row r="16" spans="1:16" x14ac:dyDescent="0.25">
      <c r="B16" t="s">
        <v>11</v>
      </c>
      <c r="C16">
        <f>(SUM(A$1:A1)+SUM(C$1:C1)+SUM(I$1:I1)+SUM(K$1:K1))/(SUM(A$1:D1)+SUM(I$1:L1))</f>
        <v>2.982270467950299E-4</v>
      </c>
      <c r="F16" t="s">
        <v>11</v>
      </c>
      <c r="G16">
        <f>(SUM(E$1:E1)+SUM(G$1:G1)+SUM(M$1:M1)+SUM(O$1:O1))/(SUM(E$1:H1)+SUM(M$1:P1))</f>
        <v>9.4914121135692689E-4</v>
      </c>
    </row>
    <row r="17" spans="1:13" x14ac:dyDescent="0.25">
      <c r="B17" t="s">
        <v>8</v>
      </c>
      <c r="C17">
        <f>(C14-C15)/((C16*(1-C16)*(1/$D3+1/$H3))^(1/2))</f>
        <v>-0.15276436552126335</v>
      </c>
      <c r="F17" t="s">
        <v>8</v>
      </c>
      <c r="G17">
        <f>(G14-G15)/((G16*(1-G16)*(1/$D3+1/$H3))^(1/2))</f>
        <v>-7.2286121532111475E-2</v>
      </c>
    </row>
    <row r="18" spans="1:13" x14ac:dyDescent="0.25">
      <c r="B18" t="s">
        <v>9</v>
      </c>
      <c r="C18">
        <f>(1-_xlfn.NORM.DIST(ABS(C17),0,1,TRUE))*2</f>
        <v>0.87858410002635168</v>
      </c>
      <c r="F18" t="s">
        <v>9</v>
      </c>
      <c r="G18">
        <f>(1-_xlfn.NORM.DIST(ABS(G17),0,1,TRUE))*2</f>
        <v>0.94237420921476667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0.50003175122288868</v>
      </c>
      <c r="J24" t="s">
        <v>7</v>
      </c>
      <c r="K24">
        <f>SUM(A$1:D1)/(SUM(A$1:D1)+SUM(I$1:L1))</f>
        <v>0.5000951888905989</v>
      </c>
    </row>
    <row r="25" spans="1:13" x14ac:dyDescent="0.25">
      <c r="B25" t="s">
        <v>10</v>
      </c>
      <c r="C25">
        <f>SUM(I$1:L1)/SUM(I$1:P1)</f>
        <v>0.50000158148040752</v>
      </c>
      <c r="J25" t="s">
        <v>10</v>
      </c>
      <c r="K25">
        <f>SUM(E$1:H1)/(SUM(E$1:H1)+SUM(M$1:P1))</f>
        <v>0.50006501914885859</v>
      </c>
    </row>
    <row r="26" spans="1:13" x14ac:dyDescent="0.25">
      <c r="B26" t="s">
        <v>11</v>
      </c>
      <c r="C26">
        <f>(SUM(A$1:D1)+SUM(I$1:L1))/SUM(A$1:P1)</f>
        <v>0.50001666876838091</v>
      </c>
      <c r="J26" t="s">
        <v>11</v>
      </c>
      <c r="K26">
        <f>(SUM(A$1:D1)+SUM(E$1:H1))/SUM(A$1:P1)</f>
        <v>0.50008010452262119</v>
      </c>
    </row>
    <row r="27" spans="1:13" x14ac:dyDescent="0.25">
      <c r="B27" t="s">
        <v>8</v>
      </c>
      <c r="C27">
        <f>(C24-C25)/((C26*(1-C26)*(1/SUM(A$1:H1)+1/SUM(I$1:P1)))^(1/2))</f>
        <v>0.40716526872691688</v>
      </c>
      <c r="J27" t="s">
        <v>8</v>
      </c>
      <c r="K27">
        <f>(K24-K25)/((K26*(1-K26)*(1/(SUM(A$1:D1)+SUM(I$1:L1))+1/(SUM(E$1:H1)+SUM(M$1:P1))))^(1/2))</f>
        <v>0.40716526872668335</v>
      </c>
    </row>
    <row r="28" spans="1:13" x14ac:dyDescent="0.25">
      <c r="B28" t="s">
        <v>9</v>
      </c>
      <c r="C28">
        <f>(1-_xlfn.NORM.DIST(ABS(C27),0,1,TRUE))*2</f>
        <v>0.68388660853598537</v>
      </c>
      <c r="J28" t="s">
        <v>9</v>
      </c>
      <c r="K28">
        <f>(1-_xlfn.NORM.DIST(ABS(K27),0,1,TRUE))*2</f>
        <v>0.68388660853615679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0.50008010452262119</v>
      </c>
      <c r="E32">
        <f>(D32-1/2)*2*((SUM(A$1:P1))^(1/2))</f>
        <v>2.1621516922207897</v>
      </c>
      <c r="F32">
        <f>(1-_xlfn.NORM.DIST(ABS(E32),0,1,TRUE))*2</f>
        <v>3.0606485695514385E-2</v>
      </c>
      <c r="I32" t="s">
        <v>21</v>
      </c>
      <c r="K32">
        <f>(SUM(A$1:D1)+SUM(I$1:L1))/SUM(A$1:P1)</f>
        <v>0.50001666876838091</v>
      </c>
      <c r="L32">
        <f>(K32-1/2)*2*((SUM(A$1:P1))^(1/2))</f>
        <v>0.44991724040921532</v>
      </c>
      <c r="M32">
        <f>(1-_xlfn.NORM.DIST(ABS(L32),0,1,TRUE))*2</f>
        <v>0.65277011581473254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opLeftCell="A4" workbookViewId="0">
      <selection sqref="A1:P1"/>
    </sheetView>
  </sheetViews>
  <sheetFormatPr defaultRowHeight="15" x14ac:dyDescent="0.25"/>
  <sheetData>
    <row r="1" spans="1:16" x14ac:dyDescent="0.25">
      <c r="A1">
        <v>11578</v>
      </c>
      <c r="B1">
        <v>6138</v>
      </c>
      <c r="C1">
        <v>5842</v>
      </c>
      <c r="D1">
        <v>45520887</v>
      </c>
      <c r="E1">
        <v>12567</v>
      </c>
      <c r="F1">
        <v>5216</v>
      </c>
      <c r="G1">
        <v>43026</v>
      </c>
      <c r="H1">
        <v>45477852</v>
      </c>
      <c r="I1">
        <v>12128</v>
      </c>
      <c r="J1">
        <v>39652</v>
      </c>
      <c r="K1">
        <v>5386</v>
      </c>
      <c r="L1">
        <v>45469941</v>
      </c>
      <c r="M1">
        <v>234</v>
      </c>
      <c r="N1">
        <v>51023</v>
      </c>
      <c r="O1">
        <v>55590</v>
      </c>
      <c r="P1">
        <v>45419972</v>
      </c>
    </row>
    <row r="3" spans="1:16" x14ac:dyDescent="0.25">
      <c r="C3" t="s">
        <v>0</v>
      </c>
      <c r="D3">
        <f>SUM(A$1:D1)</f>
        <v>45544445</v>
      </c>
      <c r="G3" t="s">
        <v>1</v>
      </c>
      <c r="H3">
        <f>SUM(E$1:H1)</f>
        <v>45538661</v>
      </c>
      <c r="K3" t="s">
        <v>2</v>
      </c>
      <c r="L3">
        <f>SUM(I$1:L1)</f>
        <v>45527107</v>
      </c>
      <c r="O3" t="s">
        <v>3</v>
      </c>
      <c r="P3">
        <f>SUM(M$1:P1)</f>
        <v>45526819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3.8898267395727406E-4</v>
      </c>
      <c r="E8" t="s">
        <v>8</v>
      </c>
      <c r="F8" t="s">
        <v>9</v>
      </c>
      <c r="J8" t="s">
        <v>7</v>
      </c>
      <c r="K8">
        <f>SUM(I$1:J1)/SUM(I$1:L1)</f>
        <v>1.1373443957245076E-3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3.9050335713647794E-4</v>
      </c>
      <c r="E9">
        <f>(C8-C9)/((C10*(1-C10)*(1/$D3+1/$H3))^(1/2))</f>
        <v>-0.36764034585545036</v>
      </c>
      <c r="F9">
        <f>(1-_xlfn.NORM.DIST(ABS(E9),0,1,TRUE))*2</f>
        <v>0.71314142686595705</v>
      </c>
      <c r="J9" t="s">
        <v>10</v>
      </c>
      <c r="K9">
        <f>SUM(M$1:N1)/SUM(M$1:P1)</f>
        <v>1.1258638562030878E-3</v>
      </c>
      <c r="M9">
        <f>(K8-K9)/((K10*(1-K10)*(1/$D3+1/$H3))^(1/2))</f>
        <v>1.629482935073524</v>
      </c>
      <c r="N9">
        <f>(1-_xlfn.NORM.DIST(ABS(M9),0,1,TRUE))*2</f>
        <v>0.10321082453762087</v>
      </c>
    </row>
    <row r="10" spans="1:16" x14ac:dyDescent="0.25">
      <c r="B10" t="s">
        <v>11</v>
      </c>
      <c r="C10">
        <f>(SUM(A$1:B1)+SUM(E$1:F1))/SUM(A$1:H1)</f>
        <v>3.8974296726332542E-4</v>
      </c>
      <c r="J10" t="s">
        <v>11</v>
      </c>
      <c r="K10">
        <f>(SUM(I$1:J1)+SUM(M$1:N1))/SUM(I$1:P1)</f>
        <v>1.131604144120046E-3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3.8248352790334802E-4</v>
      </c>
      <c r="F14" t="s">
        <v>7</v>
      </c>
      <c r="G14">
        <f>(SUM(E$1:E1)+SUM(G$1:G1))/SUM(E$1:H1)</f>
        <v>1.2207868826006984E-3</v>
      </c>
    </row>
    <row r="15" spans="1:16" x14ac:dyDescent="0.25">
      <c r="B15" t="s">
        <v>10</v>
      </c>
      <c r="C15">
        <f>(SUM(I$1:I1)+SUM(K$1:K1))/SUM(I$1:L1)</f>
        <v>3.8469389236614574E-4</v>
      </c>
      <c r="F15" t="s">
        <v>10</v>
      </c>
      <c r="G15">
        <f>(SUM(M$1:M1)+SUM(O$1:O1))/SUM(M$1:P1)</f>
        <v>1.2261783543453804E-3</v>
      </c>
    </row>
    <row r="16" spans="1:16" x14ac:dyDescent="0.25">
      <c r="B16" t="s">
        <v>11</v>
      </c>
      <c r="C16">
        <f>(SUM(A$1:A1)+SUM(C$1:C1)+SUM(I$1:I1)+SUM(K$1:K1))/(SUM(A$1:D1)+SUM(I$1:L1))</f>
        <v>3.8358849973260586E-4</v>
      </c>
      <c r="F16" t="s">
        <v>11</v>
      </c>
      <c r="G16">
        <f>(SUM(E$1:E1)+SUM(G$1:G1)+SUM(M$1:M1)+SUM(O$1:O1))/(SUM(E$1:H1)+SUM(M$1:P1))</f>
        <v>1.2234822679241355E-3</v>
      </c>
    </row>
    <row r="17" spans="1:13" x14ac:dyDescent="0.25">
      <c r="B17" t="s">
        <v>8</v>
      </c>
      <c r="C17">
        <f>(C14-C15)/((C16*(1-C16)*(1/$D3+1/$H3))^(1/2))</f>
        <v>-0.53864586599996112</v>
      </c>
      <c r="F17" t="s">
        <v>8</v>
      </c>
      <c r="G17">
        <f>(G14-G15)/((G16*(1-G16)*(1/$D3+1/$H3))^(1/2))</f>
        <v>-0.73597532106197139</v>
      </c>
    </row>
    <row r="18" spans="1:13" x14ac:dyDescent="0.25">
      <c r="B18" t="s">
        <v>9</v>
      </c>
      <c r="C18">
        <f>(1-_xlfn.NORM.DIST(ABS(C17),0,1,TRUE))*2</f>
        <v>0.59013123322239114</v>
      </c>
      <c r="F18" t="s">
        <v>9</v>
      </c>
      <c r="G18">
        <f>(1-_xlfn.NORM.DIST(ABS(G17),0,1,TRUE))*2</f>
        <v>0.46174571684647825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0.50003175122288868</v>
      </c>
      <c r="J24" t="s">
        <v>7</v>
      </c>
      <c r="K24">
        <f>SUM(A$1:D1)/(SUM(A$1:D1)+SUM(I$1:L1))</f>
        <v>0.5000951888905989</v>
      </c>
    </row>
    <row r="25" spans="1:13" x14ac:dyDescent="0.25">
      <c r="B25" t="s">
        <v>10</v>
      </c>
      <c r="C25">
        <f>SUM(I$1:L1)/SUM(I$1:P1)</f>
        <v>0.50000158148040752</v>
      </c>
      <c r="J25" t="s">
        <v>10</v>
      </c>
      <c r="K25">
        <f>SUM(E$1:H1)/(SUM(E$1:H1)+SUM(M$1:P1))</f>
        <v>0.50006501914885859</v>
      </c>
    </row>
    <row r="26" spans="1:13" x14ac:dyDescent="0.25">
      <c r="B26" t="s">
        <v>11</v>
      </c>
      <c r="C26">
        <f>(SUM(A$1:D1)+SUM(I$1:L1))/SUM(A$1:P1)</f>
        <v>0.50001666876838091</v>
      </c>
      <c r="J26" t="s">
        <v>11</v>
      </c>
      <c r="K26">
        <f>(SUM(A$1:D1)+SUM(E$1:H1))/SUM(A$1:P1)</f>
        <v>0.50008010452262119</v>
      </c>
    </row>
    <row r="27" spans="1:13" x14ac:dyDescent="0.25">
      <c r="B27" t="s">
        <v>8</v>
      </c>
      <c r="C27">
        <f>(C24-C25)/((C26*(1-C26)*(1/SUM(A$1:H1)+1/SUM(I$1:P1)))^(1/2))</f>
        <v>0.40716526872691688</v>
      </c>
      <c r="J27" t="s">
        <v>8</v>
      </c>
      <c r="K27">
        <f>(K24-K25)/((K26*(1-K26)*(1/(SUM(A$1:D1)+SUM(I$1:L1))+1/(SUM(E$1:H1)+SUM(M$1:P1))))^(1/2))</f>
        <v>0.40716526872668335</v>
      </c>
    </row>
    <row r="28" spans="1:13" x14ac:dyDescent="0.25">
      <c r="B28" t="s">
        <v>9</v>
      </c>
      <c r="C28">
        <f>(1-_xlfn.NORM.DIST(ABS(C27),0,1,TRUE))*2</f>
        <v>0.68388660853598537</v>
      </c>
      <c r="J28" t="s">
        <v>9</v>
      </c>
      <c r="K28">
        <f>(1-_xlfn.NORM.DIST(ABS(K27),0,1,TRUE))*2</f>
        <v>0.68388660853615679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0.50008010452262119</v>
      </c>
      <c r="E32">
        <f>(D32-1/2)*2*((SUM(A$1:P1))^(1/2))</f>
        <v>2.1621516922207897</v>
      </c>
      <c r="F32">
        <f>(1-_xlfn.NORM.DIST(ABS(E32),0,1,TRUE))*2</f>
        <v>3.0606485695514385E-2</v>
      </c>
      <c r="I32" t="s">
        <v>21</v>
      </c>
      <c r="K32">
        <f>(SUM(A$1:D1)+SUM(I$1:L1))/SUM(A$1:P1)</f>
        <v>0.50001666876838091</v>
      </c>
      <c r="L32">
        <f>(K32-1/2)*2*((SUM(A$1:P1))^(1/2))</f>
        <v>0.44991724040921532</v>
      </c>
      <c r="M32">
        <f>(1-_xlfn.NORM.DIST(ABS(L32),0,1,TRUE))*2</f>
        <v>0.65277011581473254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</vt:lpstr>
      <vt:lpstr>456</vt:lpstr>
      <vt:lpstr>34567</vt:lpstr>
      <vt:lpstr>2345678</vt:lpstr>
      <vt:lpstr>123456789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2015-10-15T23:17:45Z</dcterms:modified>
</cp:coreProperties>
</file>