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5" sheetId="1" r:id="rId1"/>
    <sheet name="456" sheetId="2" r:id="rId2"/>
    <sheet name="34567" sheetId="3" r:id="rId3"/>
    <sheet name="2345678" sheetId="4" r:id="rId4"/>
    <sheet name="123456789" sheetId="5" r:id="rId5"/>
  </sheets>
  <calcPr calcId="152511"/>
</workbook>
</file>

<file path=xl/calcChain.xml><?xml version="1.0" encoding="utf-8"?>
<calcChain xmlns="http://schemas.openxmlformats.org/spreadsheetml/2006/main">
  <c r="R3" i="1" l="1"/>
  <c r="K32" i="5" l="1"/>
  <c r="L32" i="5" s="1"/>
  <c r="M32" i="5" s="1"/>
  <c r="D32" i="5"/>
  <c r="E32" i="5" s="1"/>
  <c r="F32" i="5" s="1"/>
  <c r="K26" i="5"/>
  <c r="C26" i="5"/>
  <c r="K25" i="5"/>
  <c r="C25" i="5"/>
  <c r="K24" i="5"/>
  <c r="C24" i="5"/>
  <c r="G16" i="5"/>
  <c r="C16" i="5"/>
  <c r="G15" i="5"/>
  <c r="C15" i="5"/>
  <c r="G14" i="5"/>
  <c r="C14" i="5"/>
  <c r="K10" i="5"/>
  <c r="C10" i="5"/>
  <c r="K9" i="5"/>
  <c r="C9" i="5"/>
  <c r="K8" i="5"/>
  <c r="C8" i="5"/>
  <c r="P3" i="5"/>
  <c r="L3" i="5"/>
  <c r="H3" i="5"/>
  <c r="D3" i="5"/>
  <c r="K32" i="4"/>
  <c r="L32" i="4" s="1"/>
  <c r="M32" i="4" s="1"/>
  <c r="D32" i="4"/>
  <c r="E32" i="4" s="1"/>
  <c r="F32" i="4" s="1"/>
  <c r="K26" i="4"/>
  <c r="C26" i="4"/>
  <c r="K25" i="4"/>
  <c r="C25" i="4"/>
  <c r="K24" i="4"/>
  <c r="C24" i="4"/>
  <c r="G16" i="4"/>
  <c r="C16" i="4"/>
  <c r="G15" i="4"/>
  <c r="C15" i="4"/>
  <c r="G14" i="4"/>
  <c r="C14" i="4"/>
  <c r="K10" i="4"/>
  <c r="C10" i="4"/>
  <c r="K9" i="4"/>
  <c r="C9" i="4"/>
  <c r="K8" i="4"/>
  <c r="C8" i="4"/>
  <c r="P3" i="4"/>
  <c r="L3" i="4"/>
  <c r="H3" i="4"/>
  <c r="D3" i="4"/>
  <c r="K32" i="3"/>
  <c r="L32" i="3" s="1"/>
  <c r="M32" i="3" s="1"/>
  <c r="D32" i="3"/>
  <c r="E32" i="3" s="1"/>
  <c r="F32" i="3" s="1"/>
  <c r="K26" i="3"/>
  <c r="C26" i="3"/>
  <c r="K25" i="3"/>
  <c r="C25" i="3"/>
  <c r="K24" i="3"/>
  <c r="C24" i="3"/>
  <c r="G16" i="3"/>
  <c r="C16" i="3"/>
  <c r="G15" i="3"/>
  <c r="C15" i="3"/>
  <c r="G14" i="3"/>
  <c r="C14" i="3"/>
  <c r="K10" i="3"/>
  <c r="C10" i="3"/>
  <c r="K9" i="3"/>
  <c r="C9" i="3"/>
  <c r="K8" i="3"/>
  <c r="C8" i="3"/>
  <c r="P3" i="3"/>
  <c r="L3" i="3"/>
  <c r="H3" i="3"/>
  <c r="D3" i="3"/>
  <c r="K32" i="2"/>
  <c r="L32" i="2" s="1"/>
  <c r="M32" i="2" s="1"/>
  <c r="D32" i="2"/>
  <c r="E32" i="2" s="1"/>
  <c r="F32" i="2" s="1"/>
  <c r="K26" i="2"/>
  <c r="C26" i="2"/>
  <c r="K25" i="2"/>
  <c r="C25" i="2"/>
  <c r="K24" i="2"/>
  <c r="C24" i="2"/>
  <c r="G16" i="2"/>
  <c r="C16" i="2"/>
  <c r="G15" i="2"/>
  <c r="C15" i="2"/>
  <c r="G14" i="2"/>
  <c r="C14" i="2"/>
  <c r="K10" i="2"/>
  <c r="C10" i="2"/>
  <c r="K9" i="2"/>
  <c r="C9" i="2"/>
  <c r="K8" i="2"/>
  <c r="C8" i="2"/>
  <c r="P3" i="2"/>
  <c r="L3" i="2"/>
  <c r="H3" i="2"/>
  <c r="D3" i="2"/>
  <c r="K32" i="1"/>
  <c r="L32" i="1" s="1"/>
  <c r="M32" i="1" s="1"/>
  <c r="D32" i="1"/>
  <c r="E32" i="1" s="1"/>
  <c r="F32" i="1" s="1"/>
  <c r="K26" i="1"/>
  <c r="C26" i="1"/>
  <c r="K25" i="1"/>
  <c r="C25" i="1"/>
  <c r="K24" i="1"/>
  <c r="C24" i="1"/>
  <c r="G16" i="1"/>
  <c r="C16" i="1"/>
  <c r="G15" i="1"/>
  <c r="C15" i="1"/>
  <c r="G14" i="1"/>
  <c r="C14" i="1"/>
  <c r="K10" i="1"/>
  <c r="C10" i="1"/>
  <c r="K9" i="1"/>
  <c r="C9" i="1"/>
  <c r="K8" i="1"/>
  <c r="C8" i="1"/>
  <c r="P3" i="1"/>
  <c r="L3" i="1"/>
  <c r="H3" i="1"/>
  <c r="D3" i="1"/>
  <c r="K27" i="5" l="1"/>
  <c r="K28" i="5" s="1"/>
  <c r="E9" i="5"/>
  <c r="F9" i="5" s="1"/>
  <c r="C27" i="2"/>
  <c r="C28" i="2" s="1"/>
  <c r="E9" i="1"/>
  <c r="F9" i="1" s="1"/>
  <c r="C17" i="1"/>
  <c r="C18" i="1" s="1"/>
  <c r="K27" i="2"/>
  <c r="K28" i="2" s="1"/>
  <c r="E9" i="2"/>
  <c r="F9" i="2" s="1"/>
  <c r="C27" i="5"/>
  <c r="C28" i="5" s="1"/>
  <c r="G17" i="5"/>
  <c r="G18" i="5" s="1"/>
  <c r="K27" i="4"/>
  <c r="K28" i="4" s="1"/>
  <c r="C17" i="3"/>
  <c r="C18" i="3" s="1"/>
  <c r="G17" i="3"/>
  <c r="G18" i="3" s="1"/>
  <c r="E9" i="3"/>
  <c r="F9" i="3" s="1"/>
  <c r="C17" i="5"/>
  <c r="C18" i="5" s="1"/>
  <c r="M9" i="5"/>
  <c r="N9" i="5" s="1"/>
  <c r="E9" i="4"/>
  <c r="F9" i="4" s="1"/>
  <c r="M9" i="4"/>
  <c r="N9" i="4" s="1"/>
  <c r="G17" i="4"/>
  <c r="G18" i="4" s="1"/>
  <c r="C17" i="4"/>
  <c r="C18" i="4" s="1"/>
  <c r="C27" i="4"/>
  <c r="C28" i="4" s="1"/>
  <c r="M9" i="3"/>
  <c r="N9" i="3" s="1"/>
  <c r="C27" i="3"/>
  <c r="C28" i="3" s="1"/>
  <c r="K27" i="3"/>
  <c r="K28" i="3" s="1"/>
  <c r="M9" i="2"/>
  <c r="N9" i="2" s="1"/>
  <c r="C17" i="2"/>
  <c r="C18" i="2" s="1"/>
  <c r="G17" i="2"/>
  <c r="G18" i="2" s="1"/>
  <c r="M9" i="1"/>
  <c r="N9" i="1" s="1"/>
  <c r="G17" i="1"/>
  <c r="G18" i="1" s="1"/>
  <c r="K27" i="1"/>
  <c r="K28" i="1" s="1"/>
  <c r="C27" i="1"/>
  <c r="C28" i="1" s="1"/>
</calcChain>
</file>

<file path=xl/sharedStrings.xml><?xml version="1.0" encoding="utf-8"?>
<sst xmlns="http://schemas.openxmlformats.org/spreadsheetml/2006/main" count="255" uniqueCount="22">
  <si>
    <t>ab</t>
  </si>
  <si>
    <t>ab'</t>
  </si>
  <si>
    <t>a'b</t>
  </si>
  <si>
    <t>a'b'</t>
  </si>
  <si>
    <t>NO SIGNALING TESTS USING IID ASSUMPTION</t>
  </si>
  <si>
    <t>Bob effect on Alice success prob when Alice=a</t>
  </si>
  <si>
    <t>Bob effect on Alice success prob when Alice=a'</t>
  </si>
  <si>
    <t>p1-hat</t>
  </si>
  <si>
    <t>z</t>
  </si>
  <si>
    <t>p-value</t>
  </si>
  <si>
    <t>p2-hat</t>
  </si>
  <si>
    <t>ppool</t>
  </si>
  <si>
    <t>Alice effect on Bob success prob when Bob=b</t>
  </si>
  <si>
    <t>Alice effect on Bob success prob when Bob=b'</t>
  </si>
  <si>
    <t>INDEPENDENCE OF SETTINGS USING IID ASSUMPTIONS</t>
  </si>
  <si>
    <t>Does Alice's choice of setting influence Bob's setting probabilities?</t>
  </si>
  <si>
    <t>Does Bob's choice of setting influence Alice's setting probabilities?</t>
  </si>
  <si>
    <t>TESTING WHETHER INDIVIDUAL SETTING PROBABILTIES = 1/2</t>
  </si>
  <si>
    <t>P(a)</t>
  </si>
  <si>
    <t>P(b)</t>
  </si>
  <si>
    <t>Alice = 1/2 ?</t>
  </si>
  <si>
    <t>Bob=1/2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</si>
</sst>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R3" sqref="R3"/>
    </sheetView>
  </sheetViews>
  <sheetFormatPr defaultRowHeight="15" x14ac:dyDescent="0.25"/>
  <cols>
    <col min="4" max="4" width="11.140625" customWidth="1"/>
  </cols>
  <sheetData>
    <row r="1" spans="1:18" x14ac:dyDescent="0.25">
      <c r="A1">
        <v>1323</v>
      </c>
      <c r="B1">
        <v>693</v>
      </c>
      <c r="C1">
        <v>637</v>
      </c>
      <c r="D1">
        <v>44446998</v>
      </c>
      <c r="E1">
        <v>1360</v>
      </c>
      <c r="F1">
        <v>611</v>
      </c>
      <c r="G1">
        <v>5041</v>
      </c>
      <c r="H1">
        <v>44446994</v>
      </c>
      <c r="I1">
        <v>1269</v>
      </c>
      <c r="J1">
        <v>4395</v>
      </c>
      <c r="K1">
        <v>640</v>
      </c>
      <c r="L1">
        <v>44436894</v>
      </c>
      <c r="M1">
        <v>12</v>
      </c>
      <c r="N1">
        <v>5720</v>
      </c>
      <c r="O1">
        <v>6306</v>
      </c>
      <c r="P1">
        <v>44427003</v>
      </c>
    </row>
    <row r="3" spans="1:18" x14ac:dyDescent="0.25">
      <c r="C3" t="s">
        <v>0</v>
      </c>
      <c r="D3">
        <f>SUM(A$1:D1)</f>
        <v>44449651</v>
      </c>
      <c r="G3" t="s">
        <v>1</v>
      </c>
      <c r="H3">
        <f>SUM(E$1:H1)</f>
        <v>44454006</v>
      </c>
      <c r="K3" t="s">
        <v>2</v>
      </c>
      <c r="L3">
        <f>SUM(I$1:L1)</f>
        <v>44443198</v>
      </c>
      <c r="O3" t="s">
        <v>3</v>
      </c>
      <c r="P3">
        <f>SUM(M$1:P1)</f>
        <v>44439041</v>
      </c>
      <c r="R3">
        <f>D3+H3+L3+P3</f>
        <v>177785896</v>
      </c>
    </row>
    <row r="5" spans="1:18" x14ac:dyDescent="0.25">
      <c r="A5" t="s">
        <v>4</v>
      </c>
    </row>
    <row r="6" spans="1:18" x14ac:dyDescent="0.25">
      <c r="A6" t="s">
        <v>5</v>
      </c>
      <c r="I6" t="s">
        <v>6</v>
      </c>
    </row>
    <row r="8" spans="1:18" x14ac:dyDescent="0.25">
      <c r="B8" t="s">
        <v>7</v>
      </c>
      <c r="C8">
        <f>SUM(A$1:B1)/SUM(A$1:D1)</f>
        <v>4.535468681182671E-5</v>
      </c>
      <c r="E8" t="s">
        <v>8</v>
      </c>
      <c r="F8" t="s">
        <v>9</v>
      </c>
      <c r="J8" t="s">
        <v>7</v>
      </c>
      <c r="K8">
        <f>SUM(I$1:J1)/SUM(I$1:L1)</f>
        <v>1.2744357415503719E-4</v>
      </c>
      <c r="M8" t="s">
        <v>8</v>
      </c>
      <c r="N8" t="s">
        <v>9</v>
      </c>
    </row>
    <row r="9" spans="1:18" x14ac:dyDescent="0.25">
      <c r="B9" t="s">
        <v>10</v>
      </c>
      <c r="C9">
        <f>SUM(E$1:F1)/SUM(E$1:H1)</f>
        <v>4.4337961352684388E-5</v>
      </c>
      <c r="E9">
        <f>(C8-C9)/((C10*(1-C10)*(1/$D3+1/$H3))^(1/2))</f>
        <v>0.71578064186432078</v>
      </c>
      <c r="F9">
        <f>(1-_xlfn.NORM.DIST(ABS(E9),0,1,TRUE))*2</f>
        <v>0.47412680735550294</v>
      </c>
      <c r="J9" t="s">
        <v>10</v>
      </c>
      <c r="K9">
        <f>SUM(M$1:N1)/SUM(M$1:P1)</f>
        <v>1.2898568175672377E-4</v>
      </c>
      <c r="M9">
        <f>(K8-K9)/((K10*(1-K10)*(1/$D3+1/$H3))^(1/2))</f>
        <v>-0.64210139102095154</v>
      </c>
      <c r="N9">
        <f>(1-_xlfn.NORM.DIST(ABS(M9),0,1,TRUE))*2</f>
        <v>0.52080735280404467</v>
      </c>
    </row>
    <row r="10" spans="1:18" x14ac:dyDescent="0.25">
      <c r="B10" t="s">
        <v>11</v>
      </c>
      <c r="C10">
        <f>(SUM(A$1:B1)+SUM(E$1:F1))/SUM(A$1:H1)</f>
        <v>4.4846299179796392E-5</v>
      </c>
      <c r="J10" t="s">
        <v>11</v>
      </c>
      <c r="K10">
        <f>(SUM(I$1:J1)+SUM(M$1:N1))/SUM(I$1:P1)</f>
        <v>1.2821459189388783E-4</v>
      </c>
    </row>
    <row r="12" spans="1:18" x14ac:dyDescent="0.25">
      <c r="A12" t="s">
        <v>12</v>
      </c>
      <c r="F12" t="s">
        <v>13</v>
      </c>
    </row>
    <row r="14" spans="1:18" x14ac:dyDescent="0.25">
      <c r="B14" t="s">
        <v>7</v>
      </c>
      <c r="C14">
        <f>(SUM(A$1:A1)+SUM(C$1:C1))/SUM(A$1:D1)</f>
        <v>4.4094834400387083E-5</v>
      </c>
      <c r="F14" t="s">
        <v>7</v>
      </c>
      <c r="G14">
        <f>(SUM(E$1:E1)+SUM(G$1:G1))/SUM(E$1:H1)</f>
        <v>1.4399152238383196E-4</v>
      </c>
    </row>
    <row r="15" spans="1:18" x14ac:dyDescent="0.25">
      <c r="B15" t="s">
        <v>10</v>
      </c>
      <c r="C15">
        <f>(SUM(I$1:I1)+SUM(K$1:K1))/SUM(I$1:L1)</f>
        <v>4.2953704636646537E-5</v>
      </c>
      <c r="F15" t="s">
        <v>10</v>
      </c>
      <c r="G15">
        <f>(SUM(M$1:M1)+SUM(O$1:O1))/SUM(M$1:P1)</f>
        <v>1.4217228495097363E-4</v>
      </c>
    </row>
    <row r="16" spans="1:18" x14ac:dyDescent="0.25">
      <c r="B16" t="s">
        <v>11</v>
      </c>
      <c r="C16">
        <f>(SUM(A$1:A1)+SUM(C$1:C1)+SUM(I$1:I1)+SUM(K$1:K1))/(SUM(A$1:D1)+SUM(I$1:L1))</f>
        <v>4.3524310937542341E-5</v>
      </c>
      <c r="F16" t="s">
        <v>11</v>
      </c>
      <c r="G16">
        <f>(SUM(E$1:E1)+SUM(G$1:G1)+SUM(M$1:M1)+SUM(O$1:O1))/(SUM(E$1:H1)+SUM(M$1:P1))</f>
        <v>1.4308205680023546E-4</v>
      </c>
    </row>
    <row r="17" spans="1:13" x14ac:dyDescent="0.25">
      <c r="B17" t="s">
        <v>8</v>
      </c>
      <c r="C17">
        <f>(C14-C15)/((C16*(1-C16)*(1/$D3+1/$H3))^(1/2))</f>
        <v>0.81547067687622543</v>
      </c>
      <c r="F17" t="s">
        <v>8</v>
      </c>
      <c r="G17">
        <f>(G14-G15)/((G16*(1-G16)*(1/$D3+1/$H3))^(1/2))</f>
        <v>0.71706361311179168</v>
      </c>
    </row>
    <row r="18" spans="1:13" x14ac:dyDescent="0.25">
      <c r="B18" t="s">
        <v>9</v>
      </c>
      <c r="C18">
        <f>(1-_xlfn.NORM.DIST(ABS(C17),0,1,TRUE))*2</f>
        <v>0.41480294271251772</v>
      </c>
      <c r="F18" t="s">
        <v>9</v>
      </c>
      <c r="G18">
        <f>(1-_xlfn.NORM.DIST(ABS(G17),0,1,TRUE))*2</f>
        <v>0.47333484628629097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0.49997550719426537</v>
      </c>
      <c r="J24" t="s">
        <v>7</v>
      </c>
      <c r="K24">
        <f>SUM(A$1:D1)/(SUM(A$1:D1)+SUM(I$1:L1))</f>
        <v>0.50003629650794523</v>
      </c>
    </row>
    <row r="25" spans="1:13" x14ac:dyDescent="0.25">
      <c r="B25" t="s">
        <v>10</v>
      </c>
      <c r="C25">
        <f>SUM(I$1:L1)/SUM(I$1:P1)</f>
        <v>0.50002338487445164</v>
      </c>
      <c r="J25" t="s">
        <v>10</v>
      </c>
      <c r="K25">
        <f>SUM(E$1:H1)/(SUM(E$1:H1)+SUM(M$1:P1))</f>
        <v>0.50008417418743678</v>
      </c>
    </row>
    <row r="26" spans="1:13" x14ac:dyDescent="0.25">
      <c r="B26" t="s">
        <v>11</v>
      </c>
      <c r="C26">
        <f>(SUM(A$1:D1)+SUM(I$1:L1))/SUM(A$1:P1)</f>
        <v>0.49999944315042855</v>
      </c>
      <c r="J26" t="s">
        <v>11</v>
      </c>
      <c r="K26">
        <f>(SUM(A$1:D1)+SUM(E$1:H1))/SUM(A$1:P1)</f>
        <v>0.50006023537435162</v>
      </c>
    </row>
    <row r="27" spans="1:13" x14ac:dyDescent="0.25">
      <c r="B27" t="s">
        <v>8</v>
      </c>
      <c r="C27">
        <f>(C24-C25)/((C26*(1-C26)*(1/SUM(A$1:H1)+1/SUM(I$1:P1)))^(1/2))</f>
        <v>-0.63838363991354619</v>
      </c>
      <c r="J27" t="s">
        <v>8</v>
      </c>
      <c r="K27">
        <f>(K24-K25)/((K26*(1-K26)*(1/(SUM(A$1:D1)+SUM(I$1:L1))+1/(SUM(E$1:H1)+SUM(M$1:P1))))^(1/2))</f>
        <v>-0.63838363991457248</v>
      </c>
    </row>
    <row r="28" spans="1:13" x14ac:dyDescent="0.25">
      <c r="B28" t="s">
        <v>9</v>
      </c>
      <c r="C28">
        <f>(1-_xlfn.NORM.DIST(ABS(C27),0,1,TRUE))*2</f>
        <v>0.52322397798287712</v>
      </c>
      <c r="J28" t="s">
        <v>9</v>
      </c>
      <c r="K28">
        <f>(1-_xlfn.NORM.DIST(ABS(K27),0,1,TRUE))*2</f>
        <v>0.52322397798220921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0.50006023537435162</v>
      </c>
      <c r="E32">
        <f>(D32-1/2)*2*((SUM(A$1:P1))^(1/2))</f>
        <v>1.6063133242695744</v>
      </c>
      <c r="F32">
        <f>(1-_xlfn.NORM.DIST(ABS(E32),0,1,TRUE))*2</f>
        <v>0.10820508422304287</v>
      </c>
      <c r="I32" t="s">
        <v>21</v>
      </c>
      <c r="K32">
        <f>(SUM(A$1:D1)+SUM(I$1:L1))/SUM(A$1:P1)</f>
        <v>0.49999944315042855</v>
      </c>
      <c r="L32">
        <f>(K32-1/2)*2*((SUM(A$1:P1))^(1/2))</f>
        <v>-1.4849660948702048E-2</v>
      </c>
      <c r="M32">
        <f>(1-_xlfn.NORM.DIST(ABS(L32),0,1,TRUE))*2</f>
        <v>0.98815212023160059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3992</v>
      </c>
      <c r="B1">
        <v>2082</v>
      </c>
      <c r="C1">
        <v>1956</v>
      </c>
      <c r="D1">
        <v>44441621</v>
      </c>
      <c r="E1">
        <v>4011</v>
      </c>
      <c r="F1">
        <v>1883</v>
      </c>
      <c r="G1">
        <v>14926</v>
      </c>
      <c r="H1">
        <v>44433186</v>
      </c>
      <c r="I1">
        <v>3895</v>
      </c>
      <c r="J1">
        <v>13283</v>
      </c>
      <c r="K1">
        <v>1977</v>
      </c>
      <c r="L1">
        <v>44424043</v>
      </c>
      <c r="M1">
        <v>42</v>
      </c>
      <c r="N1">
        <v>17047</v>
      </c>
      <c r="O1">
        <v>18960</v>
      </c>
      <c r="P1">
        <v>44402992</v>
      </c>
    </row>
    <row r="3" spans="1:16" x14ac:dyDescent="0.25">
      <c r="C3" t="s">
        <v>0</v>
      </c>
      <c r="D3">
        <f>SUM(A$1:D1)</f>
        <v>44449651</v>
      </c>
      <c r="G3" t="s">
        <v>1</v>
      </c>
      <c r="H3">
        <f>SUM(E$1:H1)</f>
        <v>44454006</v>
      </c>
      <c r="K3" t="s">
        <v>2</v>
      </c>
      <c r="L3">
        <f>SUM(I$1:L1)</f>
        <v>44443198</v>
      </c>
      <c r="O3" t="s">
        <v>3</v>
      </c>
      <c r="P3">
        <f>SUM(M$1:P1)</f>
        <v>44439041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1.3664899191221996E-4</v>
      </c>
      <c r="E8" t="s">
        <v>8</v>
      </c>
      <c r="F8" t="s">
        <v>9</v>
      </c>
      <c r="J8" t="s">
        <v>7</v>
      </c>
      <c r="K8">
        <f>SUM(I$1:J1)/SUM(I$1:L1)</f>
        <v>3.8651583983672825E-4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1.3258647600848393E-4</v>
      </c>
      <c r="E9">
        <f>(C8-C9)/((C10*(1-C10)*(1/$D3+1/$H3))^(1/2))</f>
        <v>1.6508330209206639</v>
      </c>
      <c r="F9">
        <f>(1-_xlfn.NORM.DIST(ABS(E9),0,1,TRUE))*2</f>
        <v>9.877267548084534E-2</v>
      </c>
      <c r="J9" t="s">
        <v>10</v>
      </c>
      <c r="K9">
        <f>SUM(M$1:N1)/SUM(M$1:P1)</f>
        <v>3.8454925253675028E-4</v>
      </c>
      <c r="M9">
        <f>(K8-K9)/((K10*(1-K10)*(1/$D3+1/$H3))^(1/2))</f>
        <v>0.47227638598991972</v>
      </c>
      <c r="N9">
        <f>(1-_xlfn.NORM.DIST(ABS(M9),0,1,TRUE))*2</f>
        <v>0.63672952323257781</v>
      </c>
    </row>
    <row r="10" spans="1:16" x14ac:dyDescent="0.25">
      <c r="B10" t="s">
        <v>11</v>
      </c>
      <c r="C10">
        <f>(SUM(A$1:B1)+SUM(E$1:F1))/SUM(A$1:H1)</f>
        <v>1.3461763445793911E-4</v>
      </c>
      <c r="J10" t="s">
        <v>11</v>
      </c>
      <c r="K10">
        <f>(SUM(I$1:J1)+SUM(M$1:N1))/SUM(I$1:P1)</f>
        <v>3.8553259217513635E-4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1.3381432398648079E-4</v>
      </c>
      <c r="F14" t="s">
        <v>7</v>
      </c>
      <c r="G14">
        <f>(SUM(E$1:E1)+SUM(G$1:G1))/SUM(E$1:H1)</f>
        <v>4.2599085445752628E-4</v>
      </c>
    </row>
    <row r="15" spans="1:16" x14ac:dyDescent="0.25">
      <c r="B15" t="s">
        <v>10</v>
      </c>
      <c r="C15">
        <f>(SUM(I$1:I1)+SUM(K$1:K1))/SUM(I$1:L1)</f>
        <v>1.3212370540931819E-4</v>
      </c>
      <c r="F15" t="s">
        <v>10</v>
      </c>
      <c r="G15">
        <f>(SUM(M$1:M1)+SUM(O$1:O1))/SUM(M$1:P1)</f>
        <v>4.2759698617258639E-4</v>
      </c>
    </row>
    <row r="16" spans="1:16" x14ac:dyDescent="0.25">
      <c r="B16" t="s">
        <v>11</v>
      </c>
      <c r="C16">
        <f>(SUM(A$1:A1)+SUM(C$1:C1)+SUM(I$1:I1)+SUM(K$1:K1))/(SUM(A$1:D1)+SUM(I$1:L1))</f>
        <v>1.3296907606145011E-4</v>
      </c>
      <c r="F16" t="s">
        <v>11</v>
      </c>
      <c r="G16">
        <f>(SUM(E$1:E1)+SUM(G$1:G1)+SUM(M$1:M1)+SUM(O$1:O1))/(SUM(E$1:H1)+SUM(M$1:P1))</f>
        <v>4.2679378512022433E-4</v>
      </c>
    </row>
    <row r="17" spans="1:13" x14ac:dyDescent="0.25">
      <c r="B17" t="s">
        <v>8</v>
      </c>
      <c r="C17">
        <f>(C14-C15)/((C16*(1-C16)*(1/$D3+1/$H3))^(1/2))</f>
        <v>0.69124022648877148</v>
      </c>
      <c r="F17" t="s">
        <v>8</v>
      </c>
      <c r="G17">
        <f>(G14-G15)/((G16*(1-G16)*(1/$D3+1/$H3))^(1/2))</f>
        <v>-0.36660182963108945</v>
      </c>
    </row>
    <row r="18" spans="1:13" x14ac:dyDescent="0.25">
      <c r="B18" t="s">
        <v>9</v>
      </c>
      <c r="C18">
        <f>(1-_xlfn.NORM.DIST(ABS(C17),0,1,TRUE))*2</f>
        <v>0.48941458822960815</v>
      </c>
      <c r="F18" t="s">
        <v>9</v>
      </c>
      <c r="G18">
        <f>(1-_xlfn.NORM.DIST(ABS(G17),0,1,TRUE))*2</f>
        <v>0.71391604325739033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0.49997550719426537</v>
      </c>
      <c r="J24" t="s">
        <v>7</v>
      </c>
      <c r="K24">
        <f>SUM(A$1:D1)/(SUM(A$1:D1)+SUM(I$1:L1))</f>
        <v>0.50003629650794523</v>
      </c>
    </row>
    <row r="25" spans="1:13" x14ac:dyDescent="0.25">
      <c r="B25" t="s">
        <v>10</v>
      </c>
      <c r="C25">
        <f>SUM(I$1:L1)/SUM(I$1:P1)</f>
        <v>0.50002338487445164</v>
      </c>
      <c r="J25" t="s">
        <v>10</v>
      </c>
      <c r="K25">
        <f>SUM(E$1:H1)/(SUM(E$1:H1)+SUM(M$1:P1))</f>
        <v>0.50008417418743678</v>
      </c>
    </row>
    <row r="26" spans="1:13" x14ac:dyDescent="0.25">
      <c r="B26" t="s">
        <v>11</v>
      </c>
      <c r="C26">
        <f>(SUM(A$1:D1)+SUM(I$1:L1))/SUM(A$1:P1)</f>
        <v>0.49999944315042855</v>
      </c>
      <c r="J26" t="s">
        <v>11</v>
      </c>
      <c r="K26">
        <f>(SUM(A$1:D1)+SUM(E$1:H1))/SUM(A$1:P1)</f>
        <v>0.50006023537435162</v>
      </c>
    </row>
    <row r="27" spans="1:13" x14ac:dyDescent="0.25">
      <c r="B27" t="s">
        <v>8</v>
      </c>
      <c r="C27">
        <f>(C24-C25)/((C26*(1-C26)*(1/SUM(A$1:H1)+1/SUM(I$1:P1)))^(1/2))</f>
        <v>-0.63838363991354619</v>
      </c>
      <c r="J27" t="s">
        <v>8</v>
      </c>
      <c r="K27">
        <f>(K24-K25)/((K26*(1-K26)*(1/(SUM(A$1:D1)+SUM(I$1:L1))+1/(SUM(E$1:H1)+SUM(M$1:P1))))^(1/2))</f>
        <v>-0.63838363991457248</v>
      </c>
    </row>
    <row r="28" spans="1:13" x14ac:dyDescent="0.25">
      <c r="B28" t="s">
        <v>9</v>
      </c>
      <c r="C28">
        <f>(1-_xlfn.NORM.DIST(ABS(C27),0,1,TRUE))*2</f>
        <v>0.52322397798287712</v>
      </c>
      <c r="J28" t="s">
        <v>9</v>
      </c>
      <c r="K28">
        <f>(1-_xlfn.NORM.DIST(ABS(K27),0,1,TRUE))*2</f>
        <v>0.52322397798220921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0.50006023537435162</v>
      </c>
      <c r="E32">
        <f>(D32-1/2)*2*((SUM(A$1:P1))^(1/2))</f>
        <v>1.6063133242695744</v>
      </c>
      <c r="F32">
        <f>(1-_xlfn.NORM.DIST(ABS(E32),0,1,TRUE))*2</f>
        <v>0.10820508422304287</v>
      </c>
      <c r="I32" t="s">
        <v>21</v>
      </c>
      <c r="K32">
        <f>(SUM(A$1:D1)+SUM(I$1:L1))/SUM(A$1:P1)</f>
        <v>0.49999944315042855</v>
      </c>
      <c r="L32">
        <f>(K32-1/2)*2*((SUM(A$1:P1))^(1/2))</f>
        <v>-1.4849660948702048E-2</v>
      </c>
      <c r="M32">
        <f>(1-_xlfn.NORM.DIST(ABS(L32),0,1,TRUE))*2</f>
        <v>0.98815212023160059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6797</v>
      </c>
      <c r="B1">
        <v>3413</v>
      </c>
      <c r="C1">
        <v>3158</v>
      </c>
      <c r="D1">
        <v>44436283</v>
      </c>
      <c r="E1">
        <v>6722</v>
      </c>
      <c r="F1">
        <v>3117</v>
      </c>
      <c r="G1">
        <v>24900</v>
      </c>
      <c r="H1">
        <v>44419267</v>
      </c>
      <c r="I1">
        <v>6413</v>
      </c>
      <c r="J1">
        <v>21956</v>
      </c>
      <c r="K1">
        <v>3306</v>
      </c>
      <c r="L1">
        <v>44411523</v>
      </c>
      <c r="M1">
        <v>82</v>
      </c>
      <c r="N1">
        <v>28343</v>
      </c>
      <c r="O1">
        <v>31675</v>
      </c>
      <c r="P1">
        <v>44378941</v>
      </c>
    </row>
    <row r="3" spans="1:16" x14ac:dyDescent="0.25">
      <c r="C3" t="s">
        <v>0</v>
      </c>
      <c r="D3">
        <f>SUM(A$1:D1)</f>
        <v>44449651</v>
      </c>
      <c r="G3" t="s">
        <v>1</v>
      </c>
      <c r="H3">
        <f>SUM(E$1:H1)</f>
        <v>44454006</v>
      </c>
      <c r="K3" t="s">
        <v>2</v>
      </c>
      <c r="L3">
        <f>SUM(I$1:L1)</f>
        <v>44443198</v>
      </c>
      <c r="O3" t="s">
        <v>3</v>
      </c>
      <c r="P3">
        <f>SUM(M$1:P1)</f>
        <v>44439041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2.2969809144283271E-4</v>
      </c>
      <c r="E8" t="s">
        <v>8</v>
      </c>
      <c r="F8" t="s">
        <v>9</v>
      </c>
      <c r="J8" t="s">
        <v>7</v>
      </c>
      <c r="K8">
        <f>SUM(I$1:J1)/SUM(I$1:L1)</f>
        <v>6.383204016956655E-4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2.2132988419536364E-4</v>
      </c>
      <c r="E9">
        <f>(C8-C9)/((C10*(1-C10)*(1/$D3+1/$H3))^(1/2))</f>
        <v>2.6273907966791796</v>
      </c>
      <c r="F9">
        <f>(1-_xlfn.NORM.DIST(ABS(E9),0,1,TRUE))*2</f>
        <v>8.6042454396730861E-3</v>
      </c>
      <c r="J9" t="s">
        <v>10</v>
      </c>
      <c r="K9">
        <f>SUM(M$1:N1)/SUM(M$1:P1)</f>
        <v>6.3964026586442316E-4</v>
      </c>
      <c r="M9">
        <f>(K8-K9)/((K10*(1-K10)*(1/$D3+1/$H3))^(1/2))</f>
        <v>-0.24623745699833866</v>
      </c>
      <c r="N9">
        <f>(1-_xlfn.NORM.DIST(ABS(M9),0,1,TRUE))*2</f>
        <v>0.80549842151587558</v>
      </c>
    </row>
    <row r="10" spans="1:16" x14ac:dyDescent="0.25">
      <c r="B10" t="s">
        <v>11</v>
      </c>
      <c r="C10">
        <f>(SUM(A$1:B1)+SUM(E$1:F1))/SUM(A$1:H1)</f>
        <v>2.2551378285822372E-4</v>
      </c>
      <c r="J10" t="s">
        <v>11</v>
      </c>
      <c r="K10">
        <f>(SUM(I$1:J1)+SUM(M$1:N1))/SUM(I$1:P1)</f>
        <v>6.3898030291518646E-4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2.2396126349788438E-4</v>
      </c>
      <c r="F14" t="s">
        <v>7</v>
      </c>
      <c r="G14">
        <f>(SUM(E$1:E1)+SUM(G$1:G1))/SUM(E$1:H1)</f>
        <v>7.1134196544626372E-4</v>
      </c>
    </row>
    <row r="15" spans="1:16" x14ac:dyDescent="0.25">
      <c r="B15" t="s">
        <v>10</v>
      </c>
      <c r="C15">
        <f>(SUM(I$1:I1)+SUM(K$1:K1))/SUM(I$1:L1)</f>
        <v>2.1868363298248699E-4</v>
      </c>
      <c r="F15" t="s">
        <v>10</v>
      </c>
      <c r="G15">
        <f>(SUM(M$1:M1)+SUM(O$1:O1))/SUM(M$1:P1)</f>
        <v>7.1461938163787104E-4</v>
      </c>
    </row>
    <row r="16" spans="1:16" x14ac:dyDescent="0.25">
      <c r="B16" t="s">
        <v>11</v>
      </c>
      <c r="C16">
        <f>(SUM(A$1:A1)+SUM(C$1:C1)+SUM(I$1:I1)+SUM(K$1:K1))/(SUM(A$1:D1)+SUM(I$1:L1))</f>
        <v>2.2132263979974363E-4</v>
      </c>
      <c r="F16" t="s">
        <v>11</v>
      </c>
      <c r="G16">
        <f>(SUM(E$1:E1)+SUM(G$1:G1)+SUM(M$1:M1)+SUM(O$1:O1))/(SUM(E$1:H1)+SUM(M$1:P1))</f>
        <v>7.1298039766822256E-4</v>
      </c>
    </row>
    <row r="17" spans="1:13" x14ac:dyDescent="0.25">
      <c r="B17" t="s">
        <v>8</v>
      </c>
      <c r="C17">
        <f>(C14-C15)/((C16*(1-C16)*(1/$D3+1/$H3))^(1/2))</f>
        <v>1.6726456407939159</v>
      </c>
      <c r="F17" t="s">
        <v>8</v>
      </c>
      <c r="G17">
        <f>(G14-G15)/((G16*(1-G16)*(1/$D3+1/$H3))^(1/2))</f>
        <v>-0.57886526949059069</v>
      </c>
    </row>
    <row r="18" spans="1:13" x14ac:dyDescent="0.25">
      <c r="B18" t="s">
        <v>9</v>
      </c>
      <c r="C18">
        <f>(1-_xlfn.NORM.DIST(ABS(C17),0,1,TRUE))*2</f>
        <v>9.4397076333661678E-2</v>
      </c>
      <c r="F18" t="s">
        <v>9</v>
      </c>
      <c r="G18">
        <f>(1-_xlfn.NORM.DIST(ABS(G17),0,1,TRUE))*2</f>
        <v>0.56268008623820065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0.49997550719426537</v>
      </c>
      <c r="J24" t="s">
        <v>7</v>
      </c>
      <c r="K24">
        <f>SUM(A$1:D1)/(SUM(A$1:D1)+SUM(I$1:L1))</f>
        <v>0.50003629650794523</v>
      </c>
    </row>
    <row r="25" spans="1:13" x14ac:dyDescent="0.25">
      <c r="B25" t="s">
        <v>10</v>
      </c>
      <c r="C25">
        <f>SUM(I$1:L1)/SUM(I$1:P1)</f>
        <v>0.50002338487445164</v>
      </c>
      <c r="J25" t="s">
        <v>10</v>
      </c>
      <c r="K25">
        <f>SUM(E$1:H1)/(SUM(E$1:H1)+SUM(M$1:P1))</f>
        <v>0.50008417418743678</v>
      </c>
    </row>
    <row r="26" spans="1:13" x14ac:dyDescent="0.25">
      <c r="B26" t="s">
        <v>11</v>
      </c>
      <c r="C26">
        <f>(SUM(A$1:D1)+SUM(I$1:L1))/SUM(A$1:P1)</f>
        <v>0.49999944315042855</v>
      </c>
      <c r="J26" t="s">
        <v>11</v>
      </c>
      <c r="K26">
        <f>(SUM(A$1:D1)+SUM(E$1:H1))/SUM(A$1:P1)</f>
        <v>0.50006023537435162</v>
      </c>
    </row>
    <row r="27" spans="1:13" x14ac:dyDescent="0.25">
      <c r="B27" t="s">
        <v>8</v>
      </c>
      <c r="C27">
        <f>(C24-C25)/((C26*(1-C26)*(1/SUM(A$1:H1)+1/SUM(I$1:P1)))^(1/2))</f>
        <v>-0.63838363991354619</v>
      </c>
      <c r="J27" t="s">
        <v>8</v>
      </c>
      <c r="K27">
        <f>(K24-K25)/((K26*(1-K26)*(1/(SUM(A$1:D1)+SUM(I$1:L1))+1/(SUM(E$1:H1)+SUM(M$1:P1))))^(1/2))</f>
        <v>-0.63838363991457248</v>
      </c>
    </row>
    <row r="28" spans="1:13" x14ac:dyDescent="0.25">
      <c r="B28" t="s">
        <v>9</v>
      </c>
      <c r="C28">
        <f>(1-_xlfn.NORM.DIST(ABS(C27),0,1,TRUE))*2</f>
        <v>0.52322397798287712</v>
      </c>
      <c r="J28" t="s">
        <v>9</v>
      </c>
      <c r="K28">
        <f>(1-_xlfn.NORM.DIST(ABS(K27),0,1,TRUE))*2</f>
        <v>0.52322397798220921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0.50006023537435162</v>
      </c>
      <c r="E32">
        <f>(D32-1/2)*2*((SUM(A$1:P1))^(1/2))</f>
        <v>1.6063133242695744</v>
      </c>
      <c r="F32">
        <f>(1-_xlfn.NORM.DIST(ABS(E32),0,1,TRUE))*2</f>
        <v>0.10820508422304287</v>
      </c>
      <c r="I32" t="s">
        <v>21</v>
      </c>
      <c r="K32">
        <f>(SUM(A$1:D1)+SUM(I$1:L1))/SUM(A$1:P1)</f>
        <v>0.49999944315042855</v>
      </c>
      <c r="L32">
        <f>(K32-1/2)*2*((SUM(A$1:P1))^(1/2))</f>
        <v>-1.4849660948702048E-2</v>
      </c>
      <c r="M32">
        <f>(1-_xlfn.NORM.DIST(ABS(L32),0,1,TRUE))*2</f>
        <v>0.98815212023160059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9555</v>
      </c>
      <c r="B1">
        <v>4756</v>
      </c>
      <c r="C1">
        <v>4371</v>
      </c>
      <c r="D1">
        <v>44430969</v>
      </c>
      <c r="E1">
        <v>9433</v>
      </c>
      <c r="F1">
        <v>4354</v>
      </c>
      <c r="G1">
        <v>34930</v>
      </c>
      <c r="H1">
        <v>44405289</v>
      </c>
      <c r="I1">
        <v>9106</v>
      </c>
      <c r="J1">
        <v>30772</v>
      </c>
      <c r="K1">
        <v>4584</v>
      </c>
      <c r="L1">
        <v>44398736</v>
      </c>
      <c r="M1">
        <v>128</v>
      </c>
      <c r="N1">
        <v>39684</v>
      </c>
      <c r="O1">
        <v>44351</v>
      </c>
      <c r="P1">
        <v>44354878</v>
      </c>
    </row>
    <row r="3" spans="1:16" x14ac:dyDescent="0.25">
      <c r="C3" t="s">
        <v>0</v>
      </c>
      <c r="D3">
        <f>SUM(A$1:D1)</f>
        <v>44449651</v>
      </c>
      <c r="G3" t="s">
        <v>1</v>
      </c>
      <c r="H3">
        <f>SUM(E$1:H1)</f>
        <v>44454006</v>
      </c>
      <c r="K3" t="s">
        <v>2</v>
      </c>
      <c r="L3">
        <f>SUM(I$1:L1)</f>
        <v>44443198</v>
      </c>
      <c r="O3" t="s">
        <v>3</v>
      </c>
      <c r="P3">
        <f>SUM(M$1:P1)</f>
        <v>44439041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3.2195978321629566E-4</v>
      </c>
      <c r="E8" t="s">
        <v>8</v>
      </c>
      <c r="F8" t="s">
        <v>9</v>
      </c>
      <c r="J8" t="s">
        <v>7</v>
      </c>
      <c r="K8">
        <f>SUM(I$1:J1)/SUM(I$1:L1)</f>
        <v>8.9728016422220558E-4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3.1014077786375429E-4</v>
      </c>
      <c r="E9">
        <f>(C8-C9)/((C10*(1-C10)*(1/$D3+1/$H3))^(1/2))</f>
        <v>3.1347397794978757</v>
      </c>
      <c r="F9">
        <f>(1-_xlfn.NORM.DIST(ABS(E9),0,1,TRUE))*2</f>
        <v>1.7200661750227386E-3</v>
      </c>
      <c r="J9" t="s">
        <v>10</v>
      </c>
      <c r="K9">
        <f>SUM(M$1:N1)/SUM(M$1:P1)</f>
        <v>8.9587891871924057E-4</v>
      </c>
      <c r="M9">
        <f>(K8-K9)/((K10*(1-K10)*(1/$D3+1/$H3))^(1/2))</f>
        <v>0.2207213812960605</v>
      </c>
      <c r="N9">
        <f>(1-_xlfn.NORM.DIST(ABS(M9),0,1,TRUE))*2</f>
        <v>0.8253093821547417</v>
      </c>
    </row>
    <row r="10" spans="1:16" x14ac:dyDescent="0.25">
      <c r="B10" t="s">
        <v>11</v>
      </c>
      <c r="C10">
        <f>(SUM(A$1:B1)+SUM(E$1:F1))/SUM(A$1:H1)</f>
        <v>3.1604999105942289E-4</v>
      </c>
      <c r="J10" t="s">
        <v>11</v>
      </c>
      <c r="K10">
        <f>(SUM(I$1:J1)+SUM(M$1:N1))/SUM(I$1:P1)</f>
        <v>8.9657957423867321E-4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3.1329829788764819E-4</v>
      </c>
      <c r="F14" t="s">
        <v>7</v>
      </c>
      <c r="G14">
        <f>(SUM(E$1:E1)+SUM(G$1:G1))/SUM(E$1:H1)</f>
        <v>9.9795280542320521E-4</v>
      </c>
    </row>
    <row r="15" spans="1:16" x14ac:dyDescent="0.25">
      <c r="B15" t="s">
        <v>10</v>
      </c>
      <c r="C15">
        <f>(SUM(I$1:I1)+SUM(K$1:K1))/SUM(I$1:L1)</f>
        <v>3.0803363880340024E-4</v>
      </c>
      <c r="F15" t="s">
        <v>10</v>
      </c>
      <c r="G15">
        <f>(SUM(M$1:M1)+SUM(O$1:O1))/SUM(M$1:P1)</f>
        <v>1.0008991868208858E-3</v>
      </c>
    </row>
    <row r="16" spans="1:16" x14ac:dyDescent="0.25">
      <c r="B16" t="s">
        <v>11</v>
      </c>
      <c r="C16">
        <f>(SUM(A$1:A1)+SUM(C$1:C1)+SUM(I$1:I1)+SUM(K$1:K1))/(SUM(A$1:D1)+SUM(I$1:L1))</f>
        <v>3.1066615943426448E-4</v>
      </c>
      <c r="F16" t="s">
        <v>11</v>
      </c>
      <c r="G16">
        <f>(SUM(E$1:E1)+SUM(G$1:G1)+SUM(M$1:M1)+SUM(O$1:O1))/(SUM(E$1:H1)+SUM(M$1:P1))</f>
        <v>9.9942574811278545E-4</v>
      </c>
    </row>
    <row r="17" spans="1:13" x14ac:dyDescent="0.25">
      <c r="B17" t="s">
        <v>8</v>
      </c>
      <c r="C17">
        <f>(C14-C15)/((C16*(1-C16)*(1/$D3+1/$H3))^(1/2))</f>
        <v>1.4083823268853339</v>
      </c>
      <c r="F17" t="s">
        <v>8</v>
      </c>
      <c r="G17">
        <f>(G14-G15)/((G16*(1-G16)*(1/$D3+1/$H3))^(1/2))</f>
        <v>-0.43960299712206374</v>
      </c>
    </row>
    <row r="18" spans="1:13" x14ac:dyDescent="0.25">
      <c r="B18" t="s">
        <v>9</v>
      </c>
      <c r="C18">
        <f>(1-_xlfn.NORM.DIST(ABS(C17),0,1,TRUE))*2</f>
        <v>0.15901788954375684</v>
      </c>
      <c r="F18" t="s">
        <v>9</v>
      </c>
      <c r="G18">
        <f>(1-_xlfn.NORM.DIST(ABS(G17),0,1,TRUE))*2</f>
        <v>0.6602246696098133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0.49997550719426537</v>
      </c>
      <c r="J24" t="s">
        <v>7</v>
      </c>
      <c r="K24">
        <f>SUM(A$1:D1)/(SUM(A$1:D1)+SUM(I$1:L1))</f>
        <v>0.50003629650794523</v>
      </c>
    </row>
    <row r="25" spans="1:13" x14ac:dyDescent="0.25">
      <c r="B25" t="s">
        <v>10</v>
      </c>
      <c r="C25">
        <f>SUM(I$1:L1)/SUM(I$1:P1)</f>
        <v>0.50002338487445164</v>
      </c>
      <c r="J25" t="s">
        <v>10</v>
      </c>
      <c r="K25">
        <f>SUM(E$1:H1)/(SUM(E$1:H1)+SUM(M$1:P1))</f>
        <v>0.50008417418743678</v>
      </c>
    </row>
    <row r="26" spans="1:13" x14ac:dyDescent="0.25">
      <c r="B26" t="s">
        <v>11</v>
      </c>
      <c r="C26">
        <f>(SUM(A$1:D1)+SUM(I$1:L1))/SUM(A$1:P1)</f>
        <v>0.49999944315042855</v>
      </c>
      <c r="J26" t="s">
        <v>11</v>
      </c>
      <c r="K26">
        <f>(SUM(A$1:D1)+SUM(E$1:H1))/SUM(A$1:P1)</f>
        <v>0.50006023537435162</v>
      </c>
    </row>
    <row r="27" spans="1:13" x14ac:dyDescent="0.25">
      <c r="B27" t="s">
        <v>8</v>
      </c>
      <c r="C27">
        <f>(C24-C25)/((C26*(1-C26)*(1/SUM(A$1:H1)+1/SUM(I$1:P1)))^(1/2))</f>
        <v>-0.63838363991354619</v>
      </c>
      <c r="J27" t="s">
        <v>8</v>
      </c>
      <c r="K27">
        <f>(K24-K25)/((K26*(1-K26)*(1/(SUM(A$1:D1)+SUM(I$1:L1))+1/(SUM(E$1:H1)+SUM(M$1:P1))))^(1/2))</f>
        <v>-0.63838363991457248</v>
      </c>
    </row>
    <row r="28" spans="1:13" x14ac:dyDescent="0.25">
      <c r="B28" t="s">
        <v>9</v>
      </c>
      <c r="C28">
        <f>(1-_xlfn.NORM.DIST(ABS(C27),0,1,TRUE))*2</f>
        <v>0.52322397798287712</v>
      </c>
      <c r="J28" t="s">
        <v>9</v>
      </c>
      <c r="K28">
        <f>(1-_xlfn.NORM.DIST(ABS(K27),0,1,TRUE))*2</f>
        <v>0.52322397798220921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0.50006023537435162</v>
      </c>
      <c r="E32">
        <f>(D32-1/2)*2*((SUM(A$1:P1))^(1/2))</f>
        <v>1.6063133242695744</v>
      </c>
      <c r="F32">
        <f>(1-_xlfn.NORM.DIST(ABS(E32),0,1,TRUE))*2</f>
        <v>0.10820508422304287</v>
      </c>
      <c r="I32" t="s">
        <v>21</v>
      </c>
      <c r="K32">
        <f>(SUM(A$1:D1)+SUM(I$1:L1))/SUM(A$1:P1)</f>
        <v>0.49999944315042855</v>
      </c>
      <c r="L32">
        <f>(K32-1/2)*2*((SUM(A$1:P1))^(1/2))</f>
        <v>-1.4849660948702048E-2</v>
      </c>
      <c r="M32">
        <f>(1-_xlfn.NORM.DIST(ABS(L32),0,1,TRUE))*2</f>
        <v>0.98815212023160059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sqref="A1:P1"/>
    </sheetView>
  </sheetViews>
  <sheetFormatPr defaultRowHeight="15" x14ac:dyDescent="0.25"/>
  <sheetData>
    <row r="1" spans="1:16" x14ac:dyDescent="0.25">
      <c r="A1">
        <v>12198</v>
      </c>
      <c r="B1">
        <v>6041</v>
      </c>
      <c r="C1">
        <v>5667</v>
      </c>
      <c r="D1">
        <v>44425745</v>
      </c>
      <c r="E1">
        <v>12180</v>
      </c>
      <c r="F1">
        <v>5572</v>
      </c>
      <c r="G1">
        <v>44859</v>
      </c>
      <c r="H1">
        <v>44391395</v>
      </c>
      <c r="I1">
        <v>11719</v>
      </c>
      <c r="J1">
        <v>39522</v>
      </c>
      <c r="K1">
        <v>5922</v>
      </c>
      <c r="L1">
        <v>44386035</v>
      </c>
      <c r="M1">
        <v>186</v>
      </c>
      <c r="N1">
        <v>50864</v>
      </c>
      <c r="O1">
        <v>56922</v>
      </c>
      <c r="P1">
        <v>44331069</v>
      </c>
    </row>
    <row r="3" spans="1:16" x14ac:dyDescent="0.25">
      <c r="C3" t="s">
        <v>0</v>
      </c>
      <c r="D3">
        <f>SUM(A$1:D1)</f>
        <v>44449651</v>
      </c>
      <c r="G3" t="s">
        <v>1</v>
      </c>
      <c r="H3">
        <f>SUM(E$1:H1)</f>
        <v>44454006</v>
      </c>
      <c r="K3" t="s">
        <v>2</v>
      </c>
      <c r="L3">
        <f>SUM(I$1:L1)</f>
        <v>44443198</v>
      </c>
      <c r="O3" t="s">
        <v>3</v>
      </c>
      <c r="P3">
        <f>SUM(M$1:P1)</f>
        <v>44439041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4.1032943093298978E-4</v>
      </c>
      <c r="E8" t="s">
        <v>8</v>
      </c>
      <c r="F8" t="s">
        <v>9</v>
      </c>
      <c r="J8" t="s">
        <v>7</v>
      </c>
      <c r="K8">
        <f>SUM(I$1:J1)/SUM(I$1:L1)</f>
        <v>1.1529548346183368E-3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3.9933408926070689E-4</v>
      </c>
      <c r="E9">
        <f>(C8-C9)/((C10*(1-C10)*(1/$D3+1/$H3))^(1/2))</f>
        <v>2.5768511226469957</v>
      </c>
      <c r="F9">
        <f>(1-_xlfn.NORM.DIST(ABS(E9),0,1,TRUE))*2</f>
        <v>9.9704883767812724E-3</v>
      </c>
      <c r="J9" t="s">
        <v>10</v>
      </c>
      <c r="K9">
        <f>SUM(M$1:N1)/SUM(M$1:P1)</f>
        <v>1.1487646639359297E-3</v>
      </c>
      <c r="M9">
        <f>(K8-K9)/((K10*(1-K10)*(1/$D3+1/$H3))^(1/2))</f>
        <v>0.58264008660368927</v>
      </c>
      <c r="N9">
        <f>(1-_xlfn.NORM.DIST(ABS(M9),0,1,TRUE))*2</f>
        <v>0.56013561375688981</v>
      </c>
    </row>
    <row r="10" spans="1:16" x14ac:dyDescent="0.25">
      <c r="B10" t="s">
        <v>11</v>
      </c>
      <c r="C10">
        <f>(SUM(A$1:B1)+SUM(E$1:F1))/SUM(A$1:H1)</f>
        <v>4.0483149079008075E-4</v>
      </c>
      <c r="J10" t="s">
        <v>11</v>
      </c>
      <c r="K10">
        <f>(SUM(I$1:J1)+SUM(M$1:N1))/SUM(I$1:P1)</f>
        <v>1.1508598472637487E-3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4.0191541661373226E-4</v>
      </c>
      <c r="F14" t="s">
        <v>7</v>
      </c>
      <c r="G14">
        <f>(SUM(E$1:E1)+SUM(G$1:G1))/SUM(E$1:H1)</f>
        <v>1.2831014599674099E-3</v>
      </c>
    </row>
    <row r="15" spans="1:16" x14ac:dyDescent="0.25">
      <c r="B15" t="s">
        <v>10</v>
      </c>
      <c r="C15">
        <f>(SUM(I$1:I1)+SUM(K$1:K1))/SUM(I$1:L1)</f>
        <v>3.9693363200370954E-4</v>
      </c>
      <c r="F15" t="s">
        <v>10</v>
      </c>
      <c r="G15">
        <f>(SUM(M$1:M1)+SUM(O$1:O1))/SUM(M$1:P1)</f>
        <v>1.2850862375720484E-3</v>
      </c>
    </row>
    <row r="16" spans="1:16" x14ac:dyDescent="0.25">
      <c r="B16" t="s">
        <v>11</v>
      </c>
      <c r="C16">
        <f>(SUM(A$1:A1)+SUM(C$1:C1)+SUM(I$1:I1)+SUM(K$1:K1))/(SUM(A$1:D1)+SUM(I$1:L1))</f>
        <v>3.9942470513010557E-4</v>
      </c>
      <c r="F16" t="s">
        <v>11</v>
      </c>
      <c r="G16">
        <f>(SUM(E$1:E1)+SUM(G$1:G1)+SUM(M$1:M1)+SUM(O$1:O1))/(SUM(E$1:H1)+SUM(M$1:P1))</f>
        <v>1.284093681702687E-3</v>
      </c>
    </row>
    <row r="17" spans="1:13" x14ac:dyDescent="0.25">
      <c r="B17" t="s">
        <v>8</v>
      </c>
      <c r="C17">
        <f>(C14-C15)/((C16*(1-C16)*(1/$D3+1/$H3))^(1/2))</f>
        <v>1.1753955794618296</v>
      </c>
      <c r="F17" t="s">
        <v>8</v>
      </c>
      <c r="G17">
        <f>(G14-G15)/((G16*(1-G16)*(1/$D3+1/$H3))^(1/2))</f>
        <v>-0.26128972371567927</v>
      </c>
    </row>
    <row r="18" spans="1:13" x14ac:dyDescent="0.25">
      <c r="B18" t="s">
        <v>9</v>
      </c>
      <c r="C18">
        <f>(1-_xlfn.NORM.DIST(ABS(C17),0,1,TRUE))*2</f>
        <v>0.23983649121912798</v>
      </c>
      <c r="F18" t="s">
        <v>9</v>
      </c>
      <c r="G18">
        <f>(1-_xlfn.NORM.DIST(ABS(G17),0,1,TRUE))*2</f>
        <v>0.79386909067819955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0.49997550719426537</v>
      </c>
      <c r="J24" t="s">
        <v>7</v>
      </c>
      <c r="K24">
        <f>SUM(A$1:D1)/(SUM(A$1:D1)+SUM(I$1:L1))</f>
        <v>0.50003629650794523</v>
      </c>
    </row>
    <row r="25" spans="1:13" x14ac:dyDescent="0.25">
      <c r="B25" t="s">
        <v>10</v>
      </c>
      <c r="C25">
        <f>SUM(I$1:L1)/SUM(I$1:P1)</f>
        <v>0.50002338487445164</v>
      </c>
      <c r="J25" t="s">
        <v>10</v>
      </c>
      <c r="K25">
        <f>SUM(E$1:H1)/(SUM(E$1:H1)+SUM(M$1:P1))</f>
        <v>0.50008417418743678</v>
      </c>
    </row>
    <row r="26" spans="1:13" x14ac:dyDescent="0.25">
      <c r="B26" t="s">
        <v>11</v>
      </c>
      <c r="C26">
        <f>(SUM(A$1:D1)+SUM(I$1:L1))/SUM(A$1:P1)</f>
        <v>0.49999944315042855</v>
      </c>
      <c r="J26" t="s">
        <v>11</v>
      </c>
      <c r="K26">
        <f>(SUM(A$1:D1)+SUM(E$1:H1))/SUM(A$1:P1)</f>
        <v>0.50006023537435162</v>
      </c>
    </row>
    <row r="27" spans="1:13" x14ac:dyDescent="0.25">
      <c r="B27" t="s">
        <v>8</v>
      </c>
      <c r="C27">
        <f>(C24-C25)/((C26*(1-C26)*(1/SUM(A$1:H1)+1/SUM(I$1:P1)))^(1/2))</f>
        <v>-0.63838363991354619</v>
      </c>
      <c r="J27" t="s">
        <v>8</v>
      </c>
      <c r="K27">
        <f>(K24-K25)/((K26*(1-K26)*(1/(SUM(A$1:D1)+SUM(I$1:L1))+1/(SUM(E$1:H1)+SUM(M$1:P1))))^(1/2))</f>
        <v>-0.63838363991457248</v>
      </c>
    </row>
    <row r="28" spans="1:13" x14ac:dyDescent="0.25">
      <c r="B28" t="s">
        <v>9</v>
      </c>
      <c r="C28">
        <f>(1-_xlfn.NORM.DIST(ABS(C27),0,1,TRUE))*2</f>
        <v>0.52322397798287712</v>
      </c>
      <c r="J28" t="s">
        <v>9</v>
      </c>
      <c r="K28">
        <f>(1-_xlfn.NORM.DIST(ABS(K27),0,1,TRUE))*2</f>
        <v>0.52322397798220921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0.50006023537435162</v>
      </c>
      <c r="E32">
        <f>(D32-1/2)*2*((SUM(A$1:P1))^(1/2))</f>
        <v>1.6063133242695744</v>
      </c>
      <c r="F32">
        <f>(1-_xlfn.NORM.DIST(ABS(E32),0,1,TRUE))*2</f>
        <v>0.10820508422304287</v>
      </c>
      <c r="I32" t="s">
        <v>21</v>
      </c>
      <c r="K32">
        <f>(SUM(A$1:D1)+SUM(I$1:L1))/SUM(A$1:P1)</f>
        <v>0.49999944315042855</v>
      </c>
      <c r="L32">
        <f>(K32-1/2)*2*((SUM(A$1:P1))^(1/2))</f>
        <v>-1.4849660948702048E-2</v>
      </c>
      <c r="M32">
        <f>(1-_xlfn.NORM.DIST(ABS(L32),0,1,TRUE))*2</f>
        <v>0.98815212023160059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</vt:lpstr>
      <vt:lpstr>456</vt:lpstr>
      <vt:lpstr>34567</vt:lpstr>
      <vt:lpstr>2345678</vt:lpstr>
      <vt:lpstr>123456789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2015-10-15T23:17:49Z</dcterms:modified>
</cp:coreProperties>
</file>