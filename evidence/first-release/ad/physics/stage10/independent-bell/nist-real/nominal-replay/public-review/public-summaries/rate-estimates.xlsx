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lb\Desktop\Sae Woo Friday 9\"/>
    </mc:Choice>
  </mc:AlternateContent>
  <bookViews>
    <workbookView xWindow="0" yWindow="0" windowWidth="25605" windowHeight="19020" tabRatio="50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58" i="1" l="1"/>
  <c r="L57" i="1"/>
  <c r="L58" i="1" s="1"/>
  <c r="K57" i="1"/>
  <c r="K52" i="1"/>
  <c r="L51" i="1"/>
  <c r="L52" i="1" s="1"/>
  <c r="K51" i="1"/>
  <c r="L46" i="1"/>
  <c r="L45" i="1"/>
  <c r="K45" i="1"/>
  <c r="K46" i="1" s="1"/>
  <c r="L39" i="1"/>
  <c r="L40" i="1" s="1"/>
  <c r="K39" i="1"/>
  <c r="K40" i="1" s="1"/>
  <c r="K34" i="1"/>
  <c r="L33" i="1"/>
  <c r="L34" i="1" s="1"/>
  <c r="K33" i="1"/>
  <c r="L27" i="1"/>
  <c r="L28" i="1" s="1"/>
  <c r="K27" i="1"/>
  <c r="K28" i="1" s="1"/>
  <c r="K22" i="1"/>
  <c r="L21" i="1"/>
  <c r="L22" i="1" s="1"/>
  <c r="K21" i="1"/>
  <c r="L9" i="1"/>
  <c r="L10" i="1" l="1"/>
  <c r="K9" i="1"/>
  <c r="K10" i="1" s="1"/>
  <c r="J40" i="1" l="1"/>
  <c r="I40" i="1"/>
  <c r="I34" i="1"/>
  <c r="H40" i="1"/>
  <c r="J34" i="1"/>
  <c r="H34" i="1"/>
  <c r="J28" i="1"/>
  <c r="I28" i="1"/>
  <c r="H28" i="1"/>
  <c r="J22" i="1"/>
  <c r="I22" i="1"/>
  <c r="H22" i="1"/>
  <c r="J10" i="1"/>
  <c r="I10" i="1"/>
  <c r="H10" i="1"/>
  <c r="J58" i="1"/>
  <c r="I58" i="1"/>
  <c r="H58" i="1"/>
  <c r="J52" i="1"/>
  <c r="I52" i="1"/>
  <c r="H52" i="1"/>
  <c r="J46" i="1"/>
  <c r="I46" i="1"/>
  <c r="H46" i="1"/>
</calcChain>
</file>

<file path=xl/sharedStrings.xml><?xml version="1.0" encoding="utf-8"?>
<sst xmlns="http://schemas.openxmlformats.org/spreadsheetml/2006/main" count="113" uniqueCount="39">
  <si>
    <t>02_54_CH_pockel_100kHz.run4.afterTimingfix2.dat.compressed.build.hdf5</t>
  </si>
  <si>
    <t>03_31_CH_pockel_100kHz.run4.afterTimingfix2_training.dat.compressed.build.hdf5</t>
  </si>
  <si>
    <t>03_43_CH_pockel_100kHz.run4.afterTimingfix2_afterfixingModeLocking.dat.compressed.build.hdf5</t>
  </si>
  <si>
    <t>19_45_CH_pockel_100kHz.run.nolightconeshift.dat.compressed.build.hdf5</t>
  </si>
  <si>
    <t>21_15_CH_pockel_100kHz.run.200nsadditiondelay_lightconeshift.dat.compressed.build.hdf5</t>
  </si>
  <si>
    <t>22_20_CH_pockel_100kHz.run.200nsreduceddelay_lightconeshift.dat.compressed.build.hdf5</t>
  </si>
  <si>
    <t>23_55_CH_pockel_100kHz.run.ClassicalRNGXOR.dat.compressed.build.hdf5</t>
  </si>
  <si>
    <t>00_25_CH_pockel_100kHz.run.ClassicalRNGXOR_2.dat.compressed.build.hdf5</t>
  </si>
  <si>
    <t>02_31_CH_pockel_100kHz.run.ClassicalRNGXOR_3.dat.compressed.build.hdf5</t>
  </si>
  <si>
    <t>alice</t>
  </si>
  <si>
    <t>bob</t>
  </si>
  <si>
    <t>Rate</t>
  </si>
  <si>
    <t>Counts</t>
  </si>
  <si>
    <t>timeinterval</t>
  </si>
  <si>
    <t>Observed rates:</t>
  </si>
  <si>
    <t>1 pulse</t>
  </si>
  <si>
    <t>3 pulse</t>
  </si>
  <si>
    <t>5 pulse</t>
  </si>
  <si>
    <t>Seconds:</t>
  </si>
  <si>
    <t>Rate est---&gt;</t>
  </si>
  <si>
    <t>… 1 pulse</t>
  </si>
  <si>
    <t>01_11 (rate training only)</t>
  </si>
  <si>
    <t>1 Pulse</t>
  </si>
  <si>
    <t>3 Pulse</t>
  </si>
  <si>
    <t>5 Pulse</t>
  </si>
  <si>
    <t>Rate est based off of 01_11, decreased a bit because rates were down.</t>
  </si>
  <si>
    <t>cut pts--&gt;</t>
  </si>
  <si>
    <t xml:space="preserve">Rate ests were not so great here, I overestimated. </t>
  </si>
  <si>
    <t xml:space="preserve">seconds: </t>
  </si>
  <si>
    <t xml:space="preserve">to </t>
  </si>
  <si>
    <t>rate est taken directly from previous run.</t>
  </si>
  <si>
    <t>seconds--------&gt;</t>
  </si>
  <si>
    <t>seconds----------&gt;</t>
  </si>
  <si>
    <t>rate est---&gt;</t>
  </si>
  <si>
    <t>cut pts---&gt;</t>
  </si>
  <si>
    <t>7 pulse</t>
  </si>
  <si>
    <t>9 pulse</t>
  </si>
  <si>
    <t xml:space="preserve">Predicted rates were way off!!! </t>
  </si>
  <si>
    <t>BAD SET, DO NOT ANALYZE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</si>
</sst>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Views>
    <sheetView tabSelected="1" workbookViewId="0">
      <selection activeCell="S21" sqref="S21:U23"/>
    </sheetView>
  </sheetViews>
  <sheetFormatPr defaultColWidth="11" defaultRowHeight="15.75" x14ac:dyDescent="0.25"/>
  <cols>
    <col min="6" max="6" width="24" customWidth="1"/>
    <col min="9" max="9" width="14.25" customWidth="1"/>
    <col min="14" max="14" width="13.5" customWidth="1"/>
  </cols>
  <sheetData>
    <row r="1" spans="1:19" x14ac:dyDescent="0.25">
      <c r="B1" t="s">
        <v>12</v>
      </c>
      <c r="C1" t="s">
        <v>13</v>
      </c>
      <c r="D1" t="s">
        <v>11</v>
      </c>
    </row>
    <row r="2" spans="1:19" x14ac:dyDescent="0.25">
      <c r="A2" s="1" t="s">
        <v>21</v>
      </c>
      <c r="N2" t="s">
        <v>14</v>
      </c>
      <c r="O2" t="s">
        <v>15</v>
      </c>
      <c r="P2" t="s">
        <v>16</v>
      </c>
      <c r="Q2" t="s">
        <v>17</v>
      </c>
    </row>
    <row r="3" spans="1:19" x14ac:dyDescent="0.25">
      <c r="A3" t="s">
        <v>9</v>
      </c>
      <c r="D3">
        <v>4756</v>
      </c>
      <c r="O3">
        <v>1.4059999999999999</v>
      </c>
      <c r="P3">
        <v>4.2</v>
      </c>
      <c r="Q3">
        <v>6.9850000000000003</v>
      </c>
    </row>
    <row r="4" spans="1:19" x14ac:dyDescent="0.25">
      <c r="A4" t="s">
        <v>10</v>
      </c>
      <c r="D4">
        <v>3865</v>
      </c>
    </row>
    <row r="8" spans="1:19" x14ac:dyDescent="0.25">
      <c r="A8" t="s">
        <v>0</v>
      </c>
      <c r="G8" t="s">
        <v>19</v>
      </c>
      <c r="H8" t="s">
        <v>22</v>
      </c>
      <c r="I8" t="s">
        <v>23</v>
      </c>
      <c r="J8" t="s">
        <v>24</v>
      </c>
      <c r="K8" t="s">
        <v>35</v>
      </c>
      <c r="L8" t="s">
        <v>36</v>
      </c>
      <c r="N8" t="s">
        <v>14</v>
      </c>
      <c r="O8" t="s">
        <v>15</v>
      </c>
      <c r="P8" t="s">
        <v>16</v>
      </c>
      <c r="Q8" t="s">
        <v>17</v>
      </c>
      <c r="S8" t="s">
        <v>25</v>
      </c>
    </row>
    <row r="9" spans="1:19" x14ac:dyDescent="0.25">
      <c r="A9" t="s">
        <v>10</v>
      </c>
      <c r="B9">
        <v>5261</v>
      </c>
      <c r="C9">
        <v>1.3370761789800001</v>
      </c>
      <c r="D9">
        <v>3934.7047555600002</v>
      </c>
      <c r="F9" t="s">
        <v>18</v>
      </c>
      <c r="G9">
        <v>2036</v>
      </c>
      <c r="H9">
        <v>1.38</v>
      </c>
      <c r="I9">
        <v>4.18</v>
      </c>
      <c r="J9">
        <v>6.96</v>
      </c>
      <c r="K9">
        <f>J9*7/5</f>
        <v>9.7439999999999998</v>
      </c>
      <c r="L9">
        <f>J9*9/5</f>
        <v>12.528</v>
      </c>
      <c r="O9">
        <v>1.2549999999999999</v>
      </c>
      <c r="P9">
        <v>3.8260000000000001</v>
      </c>
      <c r="Q9">
        <v>6.44</v>
      </c>
      <c r="S9" t="s">
        <v>27</v>
      </c>
    </row>
    <row r="10" spans="1:19" x14ac:dyDescent="0.25">
      <c r="A10" t="s">
        <v>9</v>
      </c>
      <c r="B10">
        <v>5231</v>
      </c>
      <c r="C10">
        <v>1.1466612246100001</v>
      </c>
      <c r="D10">
        <v>4561.9402555300003</v>
      </c>
      <c r="G10" t="s">
        <v>34</v>
      </c>
      <c r="H10">
        <f>H9*$G9*0.9</f>
        <v>2528.712</v>
      </c>
      <c r="I10">
        <f>I9*$G9*0.9</f>
        <v>7659.4319999999998</v>
      </c>
      <c r="J10">
        <f>J9*$G9*0.9</f>
        <v>12753.503999999999</v>
      </c>
      <c r="K10">
        <f>K9*$G9*0.9</f>
        <v>17854.905600000002</v>
      </c>
      <c r="L10">
        <f>L9*$G9*0.9</f>
        <v>22956.307200000003</v>
      </c>
    </row>
    <row r="14" spans="1:19" x14ac:dyDescent="0.25">
      <c r="A14" t="s">
        <v>1</v>
      </c>
      <c r="G14" t="s">
        <v>38</v>
      </c>
    </row>
    <row r="15" spans="1:19" x14ac:dyDescent="0.25">
      <c r="A15" t="s">
        <v>10</v>
      </c>
      <c r="B15">
        <v>6705</v>
      </c>
      <c r="C15">
        <v>1.79164067984</v>
      </c>
      <c r="D15">
        <v>3742.3798618999999</v>
      </c>
    </row>
    <row r="16" spans="1:19" x14ac:dyDescent="0.25">
      <c r="A16" t="s">
        <v>9</v>
      </c>
      <c r="B16">
        <v>7072</v>
      </c>
      <c r="C16">
        <v>1.6033897263300001</v>
      </c>
      <c r="D16">
        <v>4410.6556776999996</v>
      </c>
    </row>
    <row r="20" spans="1:19" x14ac:dyDescent="0.25">
      <c r="A20" t="s">
        <v>2</v>
      </c>
      <c r="G20" t="s">
        <v>19</v>
      </c>
      <c r="H20" t="s">
        <v>22</v>
      </c>
      <c r="I20" t="s">
        <v>23</v>
      </c>
      <c r="J20" t="s">
        <v>24</v>
      </c>
      <c r="K20" t="s">
        <v>35</v>
      </c>
      <c r="L20" t="s">
        <v>36</v>
      </c>
      <c r="N20" t="s">
        <v>14</v>
      </c>
      <c r="O20" t="s">
        <v>15</v>
      </c>
      <c r="P20" t="s">
        <v>16</v>
      </c>
      <c r="Q20" t="s">
        <v>17</v>
      </c>
      <c r="S20" t="s">
        <v>37</v>
      </c>
    </row>
    <row r="21" spans="1:19" x14ac:dyDescent="0.25">
      <c r="A21" t="s">
        <v>10</v>
      </c>
      <c r="B21">
        <v>5383</v>
      </c>
      <c r="C21">
        <v>1.4409990688300001</v>
      </c>
      <c r="D21">
        <v>3735.6026915299999</v>
      </c>
      <c r="F21" t="s">
        <v>28</v>
      </c>
      <c r="G21">
        <v>1070</v>
      </c>
      <c r="H21">
        <v>1.26</v>
      </c>
      <c r="I21">
        <v>3.82</v>
      </c>
      <c r="J21">
        <v>6.43</v>
      </c>
      <c r="K21">
        <f>J21*7/5</f>
        <v>9.0019999999999989</v>
      </c>
      <c r="L21">
        <f>J21*9/5</f>
        <v>11.574</v>
      </c>
      <c r="O21">
        <v>1.494</v>
      </c>
      <c r="P21">
        <v>4.4450000000000003</v>
      </c>
      <c r="Q21">
        <v>7.2359999999999998</v>
      </c>
    </row>
    <row r="22" spans="1:19" x14ac:dyDescent="0.25">
      <c r="A22" t="s">
        <v>9</v>
      </c>
      <c r="B22">
        <v>5464</v>
      </c>
      <c r="C22">
        <v>1.2304337141399999</v>
      </c>
      <c r="D22">
        <v>4440.7105699399999</v>
      </c>
      <c r="H22">
        <f>H21*$G21*0.9</f>
        <v>1213.3800000000001</v>
      </c>
      <c r="I22">
        <f>I21*$G21*0.9</f>
        <v>3678.66</v>
      </c>
      <c r="J22">
        <f>J21*$G21*0.9</f>
        <v>6192.0899999999992</v>
      </c>
      <c r="K22">
        <f>K21*$G21*0.9</f>
        <v>8668.9259999999995</v>
      </c>
      <c r="L22">
        <f>L21*$G21*0.9</f>
        <v>11145.762000000001</v>
      </c>
    </row>
    <row r="23" spans="1:19" x14ac:dyDescent="0.25">
      <c r="R23" t="s">
        <v>29</v>
      </c>
    </row>
    <row r="26" spans="1:19" x14ac:dyDescent="0.25">
      <c r="A26" t="s">
        <v>3</v>
      </c>
      <c r="H26">
        <v>1</v>
      </c>
      <c r="I26">
        <v>3</v>
      </c>
      <c r="J26">
        <v>5</v>
      </c>
      <c r="K26" t="s">
        <v>35</v>
      </c>
      <c r="L26" t="s">
        <v>36</v>
      </c>
    </row>
    <row r="27" spans="1:19" x14ac:dyDescent="0.25">
      <c r="A27" t="s">
        <v>10</v>
      </c>
      <c r="B27">
        <v>6666</v>
      </c>
      <c r="C27">
        <v>1.6145602673399999</v>
      </c>
      <c r="D27">
        <v>4128.6783372700002</v>
      </c>
      <c r="F27" t="s">
        <v>31</v>
      </c>
      <c r="G27">
        <v>1826</v>
      </c>
      <c r="H27">
        <v>1.494</v>
      </c>
      <c r="I27">
        <v>4.4450000000000003</v>
      </c>
      <c r="J27">
        <v>7.2359999999999998</v>
      </c>
      <c r="K27">
        <f>J27*7/5</f>
        <v>10.1304</v>
      </c>
      <c r="L27">
        <f>J27*9/5</f>
        <v>13.024799999999999</v>
      </c>
      <c r="S27" t="s">
        <v>30</v>
      </c>
    </row>
    <row r="28" spans="1:19" x14ac:dyDescent="0.25">
      <c r="A28" t="s">
        <v>9</v>
      </c>
      <c r="B28">
        <v>7072</v>
      </c>
      <c r="C28">
        <v>1.41460785461</v>
      </c>
      <c r="D28">
        <v>4999.2653278099997</v>
      </c>
      <c r="H28">
        <f>H27*$G27*0.9</f>
        <v>2455.2395999999999</v>
      </c>
      <c r="I28">
        <f>I27*$G27*0.9</f>
        <v>7304.9130000000005</v>
      </c>
      <c r="J28">
        <f>J27*$G27*0.9</f>
        <v>11891.642400000001</v>
      </c>
      <c r="K28">
        <f>K27*$G27*0.9</f>
        <v>16648.299360000001</v>
      </c>
      <c r="L28">
        <f>L27*$G27*0.9</f>
        <v>21404.956319999998</v>
      </c>
    </row>
    <row r="32" spans="1:19" x14ac:dyDescent="0.25">
      <c r="A32" t="s">
        <v>4</v>
      </c>
      <c r="G32" t="s">
        <v>33</v>
      </c>
      <c r="H32">
        <v>1</v>
      </c>
      <c r="I32">
        <v>2</v>
      </c>
      <c r="J32">
        <v>3</v>
      </c>
      <c r="K32" t="s">
        <v>35</v>
      </c>
      <c r="L32" t="s">
        <v>36</v>
      </c>
      <c r="N32" t="s">
        <v>14</v>
      </c>
      <c r="O32" t="s">
        <v>15</v>
      </c>
      <c r="P32" t="s">
        <v>16</v>
      </c>
      <c r="Q32" t="s">
        <v>17</v>
      </c>
    </row>
    <row r="33" spans="1:17" x14ac:dyDescent="0.25">
      <c r="A33" t="s">
        <v>10</v>
      </c>
      <c r="B33">
        <v>6761</v>
      </c>
      <c r="C33">
        <v>1.6755649456999999</v>
      </c>
      <c r="D33">
        <v>4035.0569623299998</v>
      </c>
      <c r="F33" t="s">
        <v>31</v>
      </c>
      <c r="G33">
        <v>1786</v>
      </c>
      <c r="H33">
        <v>1.49</v>
      </c>
      <c r="I33">
        <v>4.4400000000000004</v>
      </c>
      <c r="J33">
        <v>7.23</v>
      </c>
      <c r="K33">
        <f>J33*7/5</f>
        <v>10.122</v>
      </c>
      <c r="L33">
        <f>J33*9/5</f>
        <v>13.014000000000001</v>
      </c>
      <c r="O33">
        <v>1.4870000000000001</v>
      </c>
      <c r="P33">
        <v>4.4509999999999996</v>
      </c>
      <c r="Q33">
        <v>7.4459999999999997</v>
      </c>
    </row>
    <row r="34" spans="1:17" x14ac:dyDescent="0.25">
      <c r="A34" t="s">
        <v>9</v>
      </c>
      <c r="B34">
        <v>6878</v>
      </c>
      <c r="C34">
        <v>1.3670028699200001</v>
      </c>
      <c r="D34">
        <v>5031.4451793300004</v>
      </c>
      <c r="H34">
        <f>H33*$G33*0.9</f>
        <v>2395.0259999999998</v>
      </c>
      <c r="I34">
        <f>I33*$G33*0.9</f>
        <v>7136.8560000000007</v>
      </c>
      <c r="J34">
        <f>J33*$G33*0.9</f>
        <v>11621.502</v>
      </c>
      <c r="K34">
        <f>K33*$G33*0.9</f>
        <v>16270.102800000001</v>
      </c>
      <c r="L34">
        <f>L33*$G33*0.9</f>
        <v>20918.703600000001</v>
      </c>
    </row>
    <row r="38" spans="1:17" x14ac:dyDescent="0.25">
      <c r="A38" t="s">
        <v>5</v>
      </c>
      <c r="G38" t="s">
        <v>33</v>
      </c>
      <c r="H38">
        <v>1</v>
      </c>
      <c r="I38">
        <v>2</v>
      </c>
      <c r="J38">
        <v>3</v>
      </c>
      <c r="K38" t="s">
        <v>35</v>
      </c>
      <c r="L38" t="s">
        <v>36</v>
      </c>
      <c r="N38" t="s">
        <v>14</v>
      </c>
      <c r="O38" t="s">
        <v>15</v>
      </c>
      <c r="P38" t="s">
        <v>16</v>
      </c>
      <c r="Q38" t="s">
        <v>17</v>
      </c>
    </row>
    <row r="39" spans="1:17" x14ac:dyDescent="0.25">
      <c r="A39" t="s">
        <v>10</v>
      </c>
      <c r="B39">
        <v>5317</v>
      </c>
      <c r="C39">
        <v>1.32251399797</v>
      </c>
      <c r="D39">
        <v>4020.3733254700001</v>
      </c>
      <c r="F39" t="s">
        <v>32</v>
      </c>
      <c r="G39">
        <v>1789</v>
      </c>
      <c r="H39">
        <v>1.49</v>
      </c>
      <c r="I39">
        <v>4.45</v>
      </c>
      <c r="J39">
        <v>7.45</v>
      </c>
      <c r="K39">
        <f>J39*7/5</f>
        <v>10.43</v>
      </c>
      <c r="L39">
        <f>J39*9/5</f>
        <v>13.41</v>
      </c>
      <c r="O39">
        <v>1.506</v>
      </c>
      <c r="P39">
        <v>4.4829999999999997</v>
      </c>
      <c r="Q39">
        <v>7.4770000000000003</v>
      </c>
    </row>
    <row r="40" spans="1:17" x14ac:dyDescent="0.25">
      <c r="A40" t="s">
        <v>9</v>
      </c>
      <c r="B40">
        <v>5837</v>
      </c>
      <c r="C40">
        <v>1.1364937644499999</v>
      </c>
      <c r="D40">
        <v>5135.9718659</v>
      </c>
      <c r="H40">
        <f>H39*$G39*0.9</f>
        <v>2399.049</v>
      </c>
      <c r="I40">
        <f>I39*$G39*0.9</f>
        <v>7164.9450000000006</v>
      </c>
      <c r="J40">
        <f>J39*$G39*0.9</f>
        <v>11995.245000000001</v>
      </c>
      <c r="K40">
        <f>K39*$G39*0.9</f>
        <v>16793.343000000001</v>
      </c>
      <c r="L40">
        <f>L39*$G39*0.9</f>
        <v>21591.441000000003</v>
      </c>
    </row>
    <row r="44" spans="1:17" x14ac:dyDescent="0.25">
      <c r="A44" t="s">
        <v>6</v>
      </c>
      <c r="G44" t="s">
        <v>19</v>
      </c>
      <c r="H44" t="s">
        <v>20</v>
      </c>
      <c r="I44" t="s">
        <v>16</v>
      </c>
      <c r="J44" t="s">
        <v>17</v>
      </c>
      <c r="K44" t="s">
        <v>35</v>
      </c>
      <c r="L44" t="s">
        <v>36</v>
      </c>
      <c r="N44" t="s">
        <v>14</v>
      </c>
      <c r="O44" t="s">
        <v>15</v>
      </c>
      <c r="P44" t="s">
        <v>16</v>
      </c>
      <c r="Q44" t="s">
        <v>17</v>
      </c>
    </row>
    <row r="45" spans="1:17" x14ac:dyDescent="0.25">
      <c r="A45" t="s">
        <v>10</v>
      </c>
      <c r="B45">
        <v>7199</v>
      </c>
      <c r="C45">
        <v>1.82188510539</v>
      </c>
      <c r="D45">
        <v>3951.40175344</v>
      </c>
      <c r="F45" t="s">
        <v>18</v>
      </c>
      <c r="G45">
        <v>1787</v>
      </c>
      <c r="H45">
        <v>1.45</v>
      </c>
      <c r="I45">
        <v>4.42</v>
      </c>
      <c r="J45">
        <v>7.41</v>
      </c>
      <c r="K45">
        <f>J45*7/5</f>
        <v>10.374000000000001</v>
      </c>
      <c r="L45">
        <f>J45*9/5</f>
        <v>13.337999999999999</v>
      </c>
      <c r="O45">
        <v>1.4550000000000001</v>
      </c>
      <c r="P45">
        <v>4.38</v>
      </c>
      <c r="Q45">
        <v>7.43</v>
      </c>
    </row>
    <row r="46" spans="1:17" x14ac:dyDescent="0.25">
      <c r="A46" t="s">
        <v>9</v>
      </c>
      <c r="B46">
        <v>7780</v>
      </c>
      <c r="C46">
        <v>1.55760412383</v>
      </c>
      <c r="D46">
        <v>4994.85066904</v>
      </c>
      <c r="G46" t="s">
        <v>26</v>
      </c>
      <c r="H46">
        <f>H45*$G45*0.9</f>
        <v>2332.0350000000003</v>
      </c>
      <c r="I46">
        <f>I45*$G45*0.9</f>
        <v>7108.6859999999997</v>
      </c>
      <c r="J46">
        <f>J45*$G45*0.9</f>
        <v>11917.503000000001</v>
      </c>
      <c r="K46">
        <f>K45*$G45*0.9</f>
        <v>16684.504199999999</v>
      </c>
      <c r="L46">
        <f>L45*$G45*0.9</f>
        <v>21451.505399999998</v>
      </c>
    </row>
    <row r="50" spans="1:17" x14ac:dyDescent="0.25">
      <c r="A50" t="s">
        <v>7</v>
      </c>
      <c r="H50">
        <v>1</v>
      </c>
      <c r="I50">
        <v>3</v>
      </c>
      <c r="J50">
        <v>5</v>
      </c>
      <c r="K50" t="s">
        <v>35</v>
      </c>
      <c r="L50" t="s">
        <v>36</v>
      </c>
      <c r="N50" t="s">
        <v>14</v>
      </c>
      <c r="O50" t="s">
        <v>15</v>
      </c>
      <c r="P50" t="s">
        <v>16</v>
      </c>
      <c r="Q50" t="s">
        <v>17</v>
      </c>
    </row>
    <row r="51" spans="1:17" x14ac:dyDescent="0.25">
      <c r="A51" t="s">
        <v>10</v>
      </c>
      <c r="B51">
        <v>7639</v>
      </c>
      <c r="C51">
        <v>1.8995984880500001</v>
      </c>
      <c r="D51">
        <v>4021.3761213600001</v>
      </c>
      <c r="F51" t="s">
        <v>18</v>
      </c>
      <c r="G51">
        <v>1778</v>
      </c>
      <c r="H51">
        <v>1.49</v>
      </c>
      <c r="I51">
        <v>4.45</v>
      </c>
      <c r="J51">
        <v>7.45</v>
      </c>
      <c r="K51">
        <f>J51*7/5</f>
        <v>10.43</v>
      </c>
      <c r="L51">
        <f>J51*9/5</f>
        <v>13.41</v>
      </c>
      <c r="O51">
        <v>1.5549999999999999</v>
      </c>
      <c r="P51">
        <v>4.5199999999999996</v>
      </c>
      <c r="Q51">
        <v>7.476</v>
      </c>
    </row>
    <row r="52" spans="1:17" x14ac:dyDescent="0.25">
      <c r="A52" t="s">
        <v>9</v>
      </c>
      <c r="B52">
        <v>8380</v>
      </c>
      <c r="C52">
        <v>1.6710479229699999</v>
      </c>
      <c r="D52">
        <v>5014.81728011</v>
      </c>
      <c r="G52" t="s">
        <v>26</v>
      </c>
      <c r="H52">
        <f>H51*$G51*0.9</f>
        <v>2384.2979999999998</v>
      </c>
      <c r="I52">
        <f>I51*$G51*0.9</f>
        <v>7120.89</v>
      </c>
      <c r="J52">
        <f>J51*$G51*0.9</f>
        <v>11921.49</v>
      </c>
      <c r="K52">
        <f>K51*$G51*0.9</f>
        <v>16690.086000000003</v>
      </c>
      <c r="L52">
        <f>L51*$G51*0.9</f>
        <v>21458.682000000001</v>
      </c>
    </row>
    <row r="56" spans="1:17" x14ac:dyDescent="0.25">
      <c r="A56" t="s">
        <v>8</v>
      </c>
      <c r="G56" t="s">
        <v>19</v>
      </c>
      <c r="H56" t="s">
        <v>20</v>
      </c>
      <c r="I56" t="s">
        <v>16</v>
      </c>
      <c r="J56" t="s">
        <v>17</v>
      </c>
      <c r="K56" t="s">
        <v>35</v>
      </c>
      <c r="L56" t="s">
        <v>36</v>
      </c>
    </row>
    <row r="57" spans="1:17" x14ac:dyDescent="0.25">
      <c r="A57" t="s">
        <v>10</v>
      </c>
      <c r="B57">
        <v>4164</v>
      </c>
      <c r="C57">
        <v>1.07740033055</v>
      </c>
      <c r="D57">
        <v>3864.8586620400001</v>
      </c>
      <c r="F57" t="s">
        <v>18</v>
      </c>
      <c r="G57">
        <v>1821</v>
      </c>
      <c r="H57">
        <v>1.45</v>
      </c>
      <c r="I57">
        <v>4.4000000000000004</v>
      </c>
      <c r="J57">
        <v>7.4</v>
      </c>
      <c r="K57">
        <f>J57*7/5</f>
        <v>10.360000000000001</v>
      </c>
      <c r="L57">
        <f>J57*9/5</f>
        <v>13.320000000000002</v>
      </c>
    </row>
    <row r="58" spans="1:17" x14ac:dyDescent="0.25">
      <c r="A58" t="s">
        <v>9</v>
      </c>
      <c r="B58">
        <v>4246</v>
      </c>
      <c r="C58">
        <v>0.88795779335900005</v>
      </c>
      <c r="D58">
        <v>4781.7588085300004</v>
      </c>
      <c r="G58" t="s">
        <v>26</v>
      </c>
      <c r="H58">
        <f>H57*$G57*0.9</f>
        <v>2376.4049999999997</v>
      </c>
      <c r="I58">
        <f>I57*$G57*0.9</f>
        <v>7211.1600000000008</v>
      </c>
      <c r="J58">
        <f>J57*$G57*0.9</f>
        <v>12127.860000000002</v>
      </c>
      <c r="K58">
        <f>K57*$G57*0.9</f>
        <v>16979.004000000001</v>
      </c>
      <c r="L58">
        <f>L57*$G57*0.9</f>
        <v>21830.148000000005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NIST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Nam, Sae Woo</dc:creator>
  <cp:lastModifiedBy>Bierhorst, Peter L.</cp:lastModifiedBy>
  <dcterms:created xsi:type="dcterms:W3CDTF">2015-10-01T02:05:27Z</dcterms:created>
  <dcterms:modified xsi:type="dcterms:W3CDTF">2015-12-09T19:20:24Z</dcterms:modified>
</cp:coreProperties>
</file>