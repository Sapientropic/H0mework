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5" sheetId="1" r:id="rId1"/>
    <sheet name="456" sheetId="2" r:id="rId2"/>
    <sheet name="34567" sheetId="3" r:id="rId3"/>
    <sheet name="2345678" sheetId="4" r:id="rId4"/>
    <sheet name="123456789" sheetId="5" r:id="rId5"/>
  </sheets>
  <calcPr calcId="152511"/>
</workbook>
</file>

<file path=xl/calcChain.xml><?xml version="1.0" encoding="utf-8"?>
<calcChain xmlns="http://schemas.openxmlformats.org/spreadsheetml/2006/main">
  <c r="R3" i="5" l="1"/>
  <c r="K32" i="5" l="1"/>
  <c r="L32" i="5" s="1"/>
  <c r="M32" i="5" s="1"/>
  <c r="D32" i="5"/>
  <c r="E32" i="5" s="1"/>
  <c r="F32" i="5" s="1"/>
  <c r="K26" i="5"/>
  <c r="C26" i="5"/>
  <c r="K25" i="5"/>
  <c r="C25" i="5"/>
  <c r="K24" i="5"/>
  <c r="C24" i="5"/>
  <c r="G16" i="5"/>
  <c r="C16" i="5"/>
  <c r="G15" i="5"/>
  <c r="C15" i="5"/>
  <c r="G14" i="5"/>
  <c r="C14" i="5"/>
  <c r="K10" i="5"/>
  <c r="C10" i="5"/>
  <c r="K9" i="5"/>
  <c r="C9" i="5"/>
  <c r="K8" i="5"/>
  <c r="C8" i="5"/>
  <c r="P3" i="5"/>
  <c r="L3" i="5"/>
  <c r="H3" i="5"/>
  <c r="D3" i="5"/>
  <c r="K32" i="4"/>
  <c r="L32" i="4" s="1"/>
  <c r="M32" i="4" s="1"/>
  <c r="D32" i="4"/>
  <c r="E32" i="4" s="1"/>
  <c r="F32" i="4" s="1"/>
  <c r="K26" i="4"/>
  <c r="C26" i="4"/>
  <c r="K25" i="4"/>
  <c r="C25" i="4"/>
  <c r="K24" i="4"/>
  <c r="C24" i="4"/>
  <c r="G16" i="4"/>
  <c r="C16" i="4"/>
  <c r="G15" i="4"/>
  <c r="C15" i="4"/>
  <c r="G14" i="4"/>
  <c r="C14" i="4"/>
  <c r="K10" i="4"/>
  <c r="C10" i="4"/>
  <c r="K9" i="4"/>
  <c r="C9" i="4"/>
  <c r="K8" i="4"/>
  <c r="C8" i="4"/>
  <c r="P3" i="4"/>
  <c r="L3" i="4"/>
  <c r="H3" i="4"/>
  <c r="D3" i="4"/>
  <c r="K32" i="3"/>
  <c r="L32" i="3" s="1"/>
  <c r="M32" i="3" s="1"/>
  <c r="D32" i="3"/>
  <c r="E32" i="3" s="1"/>
  <c r="F32" i="3" s="1"/>
  <c r="K26" i="3"/>
  <c r="C26" i="3"/>
  <c r="K25" i="3"/>
  <c r="C25" i="3"/>
  <c r="K24" i="3"/>
  <c r="C24" i="3"/>
  <c r="G16" i="3"/>
  <c r="C16" i="3"/>
  <c r="G15" i="3"/>
  <c r="C15" i="3"/>
  <c r="G14" i="3"/>
  <c r="C14" i="3"/>
  <c r="K10" i="3"/>
  <c r="C10" i="3"/>
  <c r="K9" i="3"/>
  <c r="C9" i="3"/>
  <c r="K8" i="3"/>
  <c r="C8" i="3"/>
  <c r="P3" i="3"/>
  <c r="L3" i="3"/>
  <c r="H3" i="3"/>
  <c r="D3" i="3"/>
  <c r="K32" i="2"/>
  <c r="L32" i="2" s="1"/>
  <c r="M32" i="2" s="1"/>
  <c r="D32" i="2"/>
  <c r="E32" i="2" s="1"/>
  <c r="F32" i="2" s="1"/>
  <c r="K26" i="2"/>
  <c r="C26" i="2"/>
  <c r="K25" i="2"/>
  <c r="C25" i="2"/>
  <c r="K24" i="2"/>
  <c r="C24" i="2"/>
  <c r="G16" i="2"/>
  <c r="C16" i="2"/>
  <c r="G15" i="2"/>
  <c r="C15" i="2"/>
  <c r="G14" i="2"/>
  <c r="C14" i="2"/>
  <c r="K10" i="2"/>
  <c r="C10" i="2"/>
  <c r="K9" i="2"/>
  <c r="C9" i="2"/>
  <c r="K8" i="2"/>
  <c r="C8" i="2"/>
  <c r="P3" i="2"/>
  <c r="L3" i="2"/>
  <c r="H3" i="2"/>
  <c r="D3" i="2"/>
  <c r="K32" i="1"/>
  <c r="L32" i="1" s="1"/>
  <c r="M32" i="1" s="1"/>
  <c r="D32" i="1"/>
  <c r="E32" i="1" s="1"/>
  <c r="F32" i="1" s="1"/>
  <c r="K26" i="1"/>
  <c r="C26" i="1"/>
  <c r="K25" i="1"/>
  <c r="C25" i="1"/>
  <c r="K24" i="1"/>
  <c r="C24" i="1"/>
  <c r="G16" i="1"/>
  <c r="C16" i="1"/>
  <c r="G15" i="1"/>
  <c r="C15" i="1"/>
  <c r="G14" i="1"/>
  <c r="C14" i="1"/>
  <c r="K10" i="1"/>
  <c r="C10" i="1"/>
  <c r="K9" i="1"/>
  <c r="C9" i="1"/>
  <c r="K8" i="1"/>
  <c r="C8" i="1"/>
  <c r="P3" i="1"/>
  <c r="L3" i="1"/>
  <c r="H3" i="1"/>
  <c r="D3" i="1"/>
  <c r="K27" i="5" l="1"/>
  <c r="K28" i="5" s="1"/>
  <c r="E9" i="5"/>
  <c r="F9" i="5" s="1"/>
  <c r="C27" i="2"/>
  <c r="C28" i="2" s="1"/>
  <c r="E9" i="1"/>
  <c r="F9" i="1" s="1"/>
  <c r="C17" i="1"/>
  <c r="C18" i="1" s="1"/>
  <c r="K27" i="2"/>
  <c r="K28" i="2" s="1"/>
  <c r="E9" i="2"/>
  <c r="F9" i="2" s="1"/>
  <c r="C27" i="5"/>
  <c r="C28" i="5" s="1"/>
  <c r="G17" i="5"/>
  <c r="G18" i="5" s="1"/>
  <c r="K27" i="4"/>
  <c r="K28" i="4" s="1"/>
  <c r="C17" i="3"/>
  <c r="C18" i="3" s="1"/>
  <c r="G17" i="3"/>
  <c r="G18" i="3" s="1"/>
  <c r="E9" i="3"/>
  <c r="F9" i="3" s="1"/>
  <c r="C17" i="5"/>
  <c r="C18" i="5" s="1"/>
  <c r="M9" i="5"/>
  <c r="N9" i="5" s="1"/>
  <c r="E9" i="4"/>
  <c r="F9" i="4" s="1"/>
  <c r="M9" i="4"/>
  <c r="N9" i="4" s="1"/>
  <c r="G17" i="4"/>
  <c r="G18" i="4" s="1"/>
  <c r="C17" i="4"/>
  <c r="C18" i="4" s="1"/>
  <c r="C27" i="4"/>
  <c r="C28" i="4" s="1"/>
  <c r="M9" i="3"/>
  <c r="N9" i="3" s="1"/>
  <c r="C27" i="3"/>
  <c r="C28" i="3" s="1"/>
  <c r="K27" i="3"/>
  <c r="K28" i="3" s="1"/>
  <c r="M9" i="2"/>
  <c r="N9" i="2" s="1"/>
  <c r="C17" i="2"/>
  <c r="C18" i="2" s="1"/>
  <c r="G17" i="2"/>
  <c r="G18" i="2" s="1"/>
  <c r="M9" i="1"/>
  <c r="N9" i="1" s="1"/>
  <c r="G17" i="1"/>
  <c r="G18" i="1" s="1"/>
  <c r="K27" i="1"/>
  <c r="K28" i="1" s="1"/>
  <c r="C27" i="1"/>
  <c r="C28" i="1" s="1"/>
</calcChain>
</file>

<file path=xl/sharedStrings.xml><?xml version="1.0" encoding="utf-8"?>
<sst xmlns="http://schemas.openxmlformats.org/spreadsheetml/2006/main" count="255" uniqueCount="22">
  <si>
    <t>ab</t>
  </si>
  <si>
    <t>ab'</t>
  </si>
  <si>
    <t>a'b</t>
  </si>
  <si>
    <t>a'b'</t>
  </si>
  <si>
    <t>NO SIGNALING TESTS USING IID ASSUMPTION</t>
  </si>
  <si>
    <t>Bob effect on Alice success prob when Alice=a</t>
  </si>
  <si>
    <t>Bob effect on Alice success prob when Alice=a'</t>
  </si>
  <si>
    <t>p1-hat</t>
  </si>
  <si>
    <t>z</t>
  </si>
  <si>
    <t>p-value</t>
  </si>
  <si>
    <t>p2-hat</t>
  </si>
  <si>
    <t>ppool</t>
  </si>
  <si>
    <t>Alice effect on Bob success prob when Bob=b</t>
  </si>
  <si>
    <t>Alice effect on Bob success prob when Bob=b'</t>
  </si>
  <si>
    <t>INDEPENDENCE OF SETTINGS USING IID ASSUMPTIONS</t>
  </si>
  <si>
    <t>Does Alice's choice of setting influence Bob's setting probabilities?</t>
  </si>
  <si>
    <t>Does Bob's choice of setting influence Alice's setting probabilities?</t>
  </si>
  <si>
    <t>TESTING WHETHER INDIVIDUAL SETTING PROBABILTIES = 1/2</t>
  </si>
  <si>
    <t>P(a)</t>
  </si>
  <si>
    <t>P(b)</t>
  </si>
  <si>
    <t>Alice = 1/2 ?</t>
  </si>
  <si>
    <t>Bob=1/2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</si>
</sst>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1330</v>
      </c>
      <c r="B1">
        <v>725</v>
      </c>
      <c r="C1">
        <v>580</v>
      </c>
      <c r="D1">
        <v>44691625</v>
      </c>
      <c r="E1">
        <v>1385</v>
      </c>
      <c r="F1">
        <v>607</v>
      </c>
      <c r="G1">
        <v>5058</v>
      </c>
      <c r="H1">
        <v>44700443</v>
      </c>
      <c r="I1">
        <v>1292</v>
      </c>
      <c r="J1">
        <v>4440</v>
      </c>
      <c r="K1">
        <v>681</v>
      </c>
      <c r="L1">
        <v>44682607</v>
      </c>
      <c r="M1">
        <v>12</v>
      </c>
      <c r="N1">
        <v>5755</v>
      </c>
      <c r="O1">
        <v>6414</v>
      </c>
      <c r="P1">
        <v>44678177</v>
      </c>
    </row>
    <row r="3" spans="1:16" x14ac:dyDescent="0.25">
      <c r="C3" t="s">
        <v>0</v>
      </c>
      <c r="D3">
        <f>SUM(A$1:D1)</f>
        <v>44694260</v>
      </c>
      <c r="G3" t="s">
        <v>1</v>
      </c>
      <c r="H3">
        <f>SUM(E$1:H1)</f>
        <v>44707493</v>
      </c>
      <c r="K3" t="s">
        <v>2</v>
      </c>
      <c r="L3">
        <f>SUM(I$1:L1)</f>
        <v>44689020</v>
      </c>
      <c r="O3" t="s">
        <v>3</v>
      </c>
      <c r="P3">
        <f>SUM(M$1:P1)</f>
        <v>44690358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4.5979058608420859E-5</v>
      </c>
      <c r="E8" t="s">
        <v>8</v>
      </c>
      <c r="F8" t="s">
        <v>9</v>
      </c>
      <c r="J8" t="s">
        <v>7</v>
      </c>
      <c r="K8">
        <f>SUM(I$1:J1)/SUM(I$1:L1)</f>
        <v>1.2826416869289145E-4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4.4556289479260222E-5</v>
      </c>
      <c r="E9">
        <f>(C8-C9)/((C10*(1-C10)*(1/$D3+1/$H3))^(1/2))</f>
        <v>0.9997552544000361</v>
      </c>
      <c r="F9">
        <f>(1-_xlfn.NORM.DIST(ABS(E9),0,1,TRUE))*2</f>
        <v>0.3174289648973514</v>
      </c>
      <c r="J9" t="s">
        <v>10</v>
      </c>
      <c r="K9">
        <f>SUM(M$1:N1)/SUM(M$1:P1)</f>
        <v>1.2904349524342588E-4</v>
      </c>
      <c r="M9">
        <f>(K8-K9)/((K10*(1-K10)*(1/$D3+1/$H3))^(1/2))</f>
        <v>-0.32484714543935678</v>
      </c>
      <c r="N9">
        <f>(1-_xlfn.NORM.DIST(ABS(M9),0,1,TRUE))*2</f>
        <v>0.74529676096084563</v>
      </c>
    </row>
    <row r="10" spans="1:16" x14ac:dyDescent="0.25">
      <c r="B10" t="s">
        <v>11</v>
      </c>
      <c r="C10">
        <f>(SUM(A$1:B1)+SUM(E$1:F1))/SUM(A$1:H1)</f>
        <v>4.5267568746666522E-5</v>
      </c>
      <c r="J10" t="s">
        <v>11</v>
      </c>
      <c r="K10">
        <f>(SUM(I$1:J1)+SUM(M$1:N1))/SUM(I$1:P1)</f>
        <v>1.286538378013774E-4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4.2734794132400892E-5</v>
      </c>
      <c r="F14" t="s">
        <v>7</v>
      </c>
      <c r="G14">
        <f>(SUM(E$1:E1)+SUM(G$1:G1))/SUM(E$1:H1)</f>
        <v>1.4411454473638234E-4</v>
      </c>
    </row>
    <row r="15" spans="1:16" x14ac:dyDescent="0.25">
      <c r="B15" t="s">
        <v>10</v>
      </c>
      <c r="C15">
        <f>(SUM(I$1:I1)+SUM(K$1:K1))/SUM(I$1:L1)</f>
        <v>4.4149547248966304E-5</v>
      </c>
      <c r="F15" t="s">
        <v>10</v>
      </c>
      <c r="G15">
        <f>(SUM(M$1:M1)+SUM(O$1:O1))/SUM(M$1:P1)</f>
        <v>1.4378940531199145E-4</v>
      </c>
    </row>
    <row r="16" spans="1:16" x14ac:dyDescent="0.25">
      <c r="B16" t="s">
        <v>11</v>
      </c>
      <c r="C16">
        <f>(SUM(A$1:A1)+SUM(C$1:C1)+SUM(I$1:I1)+SUM(K$1:K1))/(SUM(A$1:D1)+SUM(I$1:L1))</f>
        <v>4.344212922148303E-5</v>
      </c>
      <c r="F16" t="s">
        <v>11</v>
      </c>
      <c r="G16">
        <f>(SUM(E$1:E1)+SUM(G$1:G1)+SUM(M$1:M1)+SUM(O$1:O1))/(SUM(E$1:H1)+SUM(M$1:P1))</f>
        <v>1.4395200618413077E-4</v>
      </c>
    </row>
    <row r="17" spans="1:13" x14ac:dyDescent="0.25">
      <c r="B17" t="s">
        <v>8</v>
      </c>
      <c r="C17">
        <f>(C14-C15)/((C16*(1-C16)*(1/$D3+1/$H3))^(1/2))</f>
        <v>-1.0147932228270886</v>
      </c>
      <c r="F17" t="s">
        <v>8</v>
      </c>
      <c r="G17">
        <f>(G14-G15)/((G16*(1-G16)*(1/$D3+1/$H3))^(1/2))</f>
        <v>0.12812534551080845</v>
      </c>
    </row>
    <row r="18" spans="1:13" x14ac:dyDescent="0.25">
      <c r="B18" t="s">
        <v>9</v>
      </c>
      <c r="C18">
        <f>(1-_xlfn.NORM.DIST(ABS(C17),0,1,TRUE))*2</f>
        <v>0.31020440498466506</v>
      </c>
      <c r="F18" t="s">
        <v>9</v>
      </c>
      <c r="G18">
        <f>(1-_xlfn.NORM.DIST(ABS(G17),0,1,TRUE))*2</f>
        <v>0.89804977853501455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0.49992599138408395</v>
      </c>
      <c r="J24" t="s">
        <v>7</v>
      </c>
      <c r="K24">
        <f>SUM(A$1:D1)/(SUM(A$1:D1)+SUM(I$1:L1))</f>
        <v>0.50002931196975542</v>
      </c>
    </row>
    <row r="25" spans="1:13" x14ac:dyDescent="0.25">
      <c r="B25" t="s">
        <v>10</v>
      </c>
      <c r="C25">
        <f>SUM(I$1:L1)/SUM(I$1:P1)</f>
        <v>0.49999251505196196</v>
      </c>
      <c r="J25" t="s">
        <v>10</v>
      </c>
      <c r="K25">
        <f>SUM(E$1:H1)/(SUM(E$1:H1)+SUM(M$1:P1))</f>
        <v>0.50009583563703341</v>
      </c>
    </row>
    <row r="26" spans="1:13" x14ac:dyDescent="0.25">
      <c r="B26" t="s">
        <v>11</v>
      </c>
      <c r="C26">
        <f>(SUM(A$1:D1)+SUM(I$1:L1))/SUM(A$1:P1)</f>
        <v>0.49995924905520372</v>
      </c>
      <c r="J26" t="s">
        <v>11</v>
      </c>
      <c r="K26">
        <f>(SUM(A$1:D1)+SUM(E$1:H1))/SUM(A$1:P1)</f>
        <v>0.50006257651429664</v>
      </c>
    </row>
    <row r="27" spans="1:13" x14ac:dyDescent="0.25">
      <c r="B27" t="s">
        <v>8</v>
      </c>
      <c r="C27">
        <f>(C24-C25)/((C26*(1-C26)*(1/SUM(A$1:H1)+1/SUM(I$1:P1)))^(1/2))</f>
        <v>-0.88948171526193021</v>
      </c>
      <c r="J27" t="s">
        <v>8</v>
      </c>
      <c r="K27">
        <f>(K24-K25)/((K26*(1-K26)*(1/(SUM(A$1:D1)+SUM(I$1:L1))+1/(SUM(E$1:H1)+SUM(M$1:P1))))^(1/2))</f>
        <v>-0.88948171526288655</v>
      </c>
    </row>
    <row r="28" spans="1:13" x14ac:dyDescent="0.25">
      <c r="B28" t="s">
        <v>9</v>
      </c>
      <c r="C28">
        <f>(1-_xlfn.NORM.DIST(ABS(C27),0,1,TRUE))*2</f>
        <v>0.37374424573664111</v>
      </c>
      <c r="J28" t="s">
        <v>9</v>
      </c>
      <c r="K28">
        <f>(1-_xlfn.NORM.DIST(ABS(K27),0,1,TRUE))*2</f>
        <v>0.37374424573612752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0.50006257651429664</v>
      </c>
      <c r="E32">
        <f>(D32-1/2)*2*((SUM(A$1:P1))^(1/2))</f>
        <v>1.67340939843558</v>
      </c>
      <c r="F32">
        <f>(1-_xlfn.NORM.DIST(ABS(E32),0,1,TRUE))*2</f>
        <v>9.4246728926148604E-2</v>
      </c>
      <c r="I32" t="s">
        <v>21</v>
      </c>
      <c r="K32">
        <f>(SUM(A$1:D1)+SUM(I$1:L1))/SUM(A$1:P1)</f>
        <v>0.49995924905520372</v>
      </c>
      <c r="L32">
        <f>(K32-1/2)*2*((SUM(A$1:P1))^(1/2))</f>
        <v>-1.0897541159603374</v>
      </c>
      <c r="M32">
        <f>(1-_xlfn.NORM.DIST(ABS(L32),0,1,TRUE))*2</f>
        <v>0.27582147087536235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4037</v>
      </c>
      <c r="B1">
        <v>2103</v>
      </c>
      <c r="C1">
        <v>1822</v>
      </c>
      <c r="D1">
        <v>44686298</v>
      </c>
      <c r="E1">
        <v>4122</v>
      </c>
      <c r="F1">
        <v>1847</v>
      </c>
      <c r="G1">
        <v>15153</v>
      </c>
      <c r="H1">
        <v>44686371</v>
      </c>
      <c r="I1">
        <v>3878</v>
      </c>
      <c r="J1">
        <v>13287</v>
      </c>
      <c r="K1">
        <v>2031</v>
      </c>
      <c r="L1">
        <v>44669824</v>
      </c>
      <c r="M1">
        <v>53</v>
      </c>
      <c r="N1">
        <v>17309</v>
      </c>
      <c r="O1">
        <v>19270</v>
      </c>
      <c r="P1">
        <v>44653726</v>
      </c>
    </row>
    <row r="3" spans="1:16" x14ac:dyDescent="0.25">
      <c r="C3" t="s">
        <v>0</v>
      </c>
      <c r="D3">
        <f>SUM(A$1:D1)</f>
        <v>44694260</v>
      </c>
      <c r="G3" t="s">
        <v>1</v>
      </c>
      <c r="H3">
        <f>SUM(E$1:H1)</f>
        <v>44707493</v>
      </c>
      <c r="K3" t="s">
        <v>2</v>
      </c>
      <c r="L3">
        <f>SUM(I$1:L1)</f>
        <v>44689020</v>
      </c>
      <c r="O3" t="s">
        <v>3</v>
      </c>
      <c r="P3">
        <f>SUM(M$1:P1)</f>
        <v>44690358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1.3737781988112119E-4</v>
      </c>
      <c r="E8" t="s">
        <v>8</v>
      </c>
      <c r="F8" t="s">
        <v>9</v>
      </c>
      <c r="J8" t="s">
        <v>7</v>
      </c>
      <c r="K8">
        <f>SUM(I$1:J1)/SUM(I$1:L1)</f>
        <v>3.8409882337988167E-4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1.3351229513137763E-4</v>
      </c>
      <c r="E9">
        <f>(C8-C9)/((C10*(1-C10)*(1/$D3+1/$H3))^(1/2))</f>
        <v>1.5703619592081399</v>
      </c>
      <c r="F9">
        <f>(1-_xlfn.NORM.DIST(ABS(E9),0,1,TRUE))*2</f>
        <v>0.11633092718093896</v>
      </c>
      <c r="J9" t="s">
        <v>10</v>
      </c>
      <c r="K9">
        <f>SUM(M$1:N1)/SUM(M$1:P1)</f>
        <v>3.8849543339975032E-4</v>
      </c>
      <c r="M9">
        <f>(K8-K9)/((K10*(1-K10)*(1/$D3+1/$H3))^(1/2))</f>
        <v>-1.057752604554024</v>
      </c>
      <c r="N9">
        <f>(1-_xlfn.NORM.DIST(ABS(M9),0,1,TRUE))*2</f>
        <v>0.29016824569993283</v>
      </c>
    </row>
    <row r="10" spans="1:16" x14ac:dyDescent="0.25">
      <c r="B10" t="s">
        <v>11</v>
      </c>
      <c r="C10">
        <f>(SUM(A$1:B1)+SUM(E$1:F1))/SUM(A$1:H1)</f>
        <v>1.354447714241129E-4</v>
      </c>
      <c r="J10" t="s">
        <v>11</v>
      </c>
      <c r="K10">
        <f>(SUM(I$1:J1)+SUM(M$1:N1))/SUM(I$1:P1)</f>
        <v>3.8629716129821357E-4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1.3109065906897216E-4</v>
      </c>
      <c r="F14" t="s">
        <v>7</v>
      </c>
      <c r="G14">
        <f>(SUM(E$1:E1)+SUM(G$1:G1))/SUM(E$1:H1)</f>
        <v>4.3113578298832367E-4</v>
      </c>
    </row>
    <row r="15" spans="1:16" x14ac:dyDescent="0.25">
      <c r="B15" t="s">
        <v>10</v>
      </c>
      <c r="C15">
        <f>(SUM(I$1:I1)+SUM(K$1:K1))/SUM(I$1:L1)</f>
        <v>1.3222487313438515E-4</v>
      </c>
      <c r="F15" t="s">
        <v>10</v>
      </c>
      <c r="G15">
        <f>(SUM(M$1:M1)+SUM(O$1:O1))/SUM(M$1:P1)</f>
        <v>4.3237514454460174E-4</v>
      </c>
    </row>
    <row r="16" spans="1:16" x14ac:dyDescent="0.25">
      <c r="B16" t="s">
        <v>11</v>
      </c>
      <c r="C16">
        <f>(SUM(A$1:A1)+SUM(C$1:C1)+SUM(I$1:I1)+SUM(K$1:K1))/(SUM(A$1:D1)+SUM(I$1:L1))</f>
        <v>1.3165773285563027E-4</v>
      </c>
      <c r="F16" t="s">
        <v>11</v>
      </c>
      <c r="G16">
        <f>(SUM(E$1:E1)+SUM(G$1:G1)+SUM(M$1:M1)+SUM(O$1:O1))/(SUM(E$1:H1)+SUM(M$1:P1))</f>
        <v>4.3175534499145844E-4</v>
      </c>
    </row>
    <row r="17" spans="1:13" x14ac:dyDescent="0.25">
      <c r="B17" t="s">
        <v>8</v>
      </c>
      <c r="C17">
        <f>(C14-C15)/((C16*(1-C16)*(1/$D3+1/$H3))^(1/2))</f>
        <v>-0.46735129497201749</v>
      </c>
      <c r="F17" t="s">
        <v>8</v>
      </c>
      <c r="G17">
        <f>(G14-G15)/((G16*(1-G16)*(1/$D3+1/$H3))^(1/2))</f>
        <v>-0.28204340616537943</v>
      </c>
    </row>
    <row r="18" spans="1:13" x14ac:dyDescent="0.25">
      <c r="B18" t="s">
        <v>9</v>
      </c>
      <c r="C18">
        <f>(1-_xlfn.NORM.DIST(ABS(C17),0,1,TRUE))*2</f>
        <v>0.64024856276631481</v>
      </c>
      <c r="F18" t="s">
        <v>9</v>
      </c>
      <c r="G18">
        <f>(1-_xlfn.NORM.DIST(ABS(G17),0,1,TRUE))*2</f>
        <v>0.77791022745889493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0.49992599138408395</v>
      </c>
      <c r="J24" t="s">
        <v>7</v>
      </c>
      <c r="K24">
        <f>SUM(A$1:D1)/(SUM(A$1:D1)+SUM(I$1:L1))</f>
        <v>0.50002931196975542</v>
      </c>
    </row>
    <row r="25" spans="1:13" x14ac:dyDescent="0.25">
      <c r="B25" t="s">
        <v>10</v>
      </c>
      <c r="C25">
        <f>SUM(I$1:L1)/SUM(I$1:P1)</f>
        <v>0.49999251505196196</v>
      </c>
      <c r="J25" t="s">
        <v>10</v>
      </c>
      <c r="K25">
        <f>SUM(E$1:H1)/(SUM(E$1:H1)+SUM(M$1:P1))</f>
        <v>0.50009583563703341</v>
      </c>
    </row>
    <row r="26" spans="1:13" x14ac:dyDescent="0.25">
      <c r="B26" t="s">
        <v>11</v>
      </c>
      <c r="C26">
        <f>(SUM(A$1:D1)+SUM(I$1:L1))/SUM(A$1:P1)</f>
        <v>0.49995924905520372</v>
      </c>
      <c r="J26" t="s">
        <v>11</v>
      </c>
      <c r="K26">
        <f>(SUM(A$1:D1)+SUM(E$1:H1))/SUM(A$1:P1)</f>
        <v>0.50006257651429664</v>
      </c>
    </row>
    <row r="27" spans="1:13" x14ac:dyDescent="0.25">
      <c r="B27" t="s">
        <v>8</v>
      </c>
      <c r="C27">
        <f>(C24-C25)/((C26*(1-C26)*(1/SUM(A$1:H1)+1/SUM(I$1:P1)))^(1/2))</f>
        <v>-0.88948171526193021</v>
      </c>
      <c r="J27" t="s">
        <v>8</v>
      </c>
      <c r="K27">
        <f>(K24-K25)/((K26*(1-K26)*(1/(SUM(A$1:D1)+SUM(I$1:L1))+1/(SUM(E$1:H1)+SUM(M$1:P1))))^(1/2))</f>
        <v>-0.88948171526288655</v>
      </c>
    </row>
    <row r="28" spans="1:13" x14ac:dyDescent="0.25">
      <c r="B28" t="s">
        <v>9</v>
      </c>
      <c r="C28">
        <f>(1-_xlfn.NORM.DIST(ABS(C27),0,1,TRUE))*2</f>
        <v>0.37374424573664111</v>
      </c>
      <c r="J28" t="s">
        <v>9</v>
      </c>
      <c r="K28">
        <f>(1-_xlfn.NORM.DIST(ABS(K27),0,1,TRUE))*2</f>
        <v>0.37374424573612752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0.50006257651429664</v>
      </c>
      <c r="E32">
        <f>(D32-1/2)*2*((SUM(A$1:P1))^(1/2))</f>
        <v>1.67340939843558</v>
      </c>
      <c r="F32">
        <f>(1-_xlfn.NORM.DIST(ABS(E32),0,1,TRUE))*2</f>
        <v>9.4246728926148604E-2</v>
      </c>
      <c r="I32" t="s">
        <v>21</v>
      </c>
      <c r="K32">
        <f>(SUM(A$1:D1)+SUM(I$1:L1))/SUM(A$1:P1)</f>
        <v>0.49995924905520372</v>
      </c>
      <c r="L32">
        <f>(K32-1/2)*2*((SUM(A$1:P1))^(1/2))</f>
        <v>-1.0897541159603374</v>
      </c>
      <c r="M32">
        <f>(1-_xlfn.NORM.DIST(ABS(L32),0,1,TRUE))*2</f>
        <v>0.27582147087536235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6711</v>
      </c>
      <c r="B1">
        <v>3422</v>
      </c>
      <c r="C1">
        <v>3016</v>
      </c>
      <c r="D1">
        <v>44681111</v>
      </c>
      <c r="E1">
        <v>6875</v>
      </c>
      <c r="F1">
        <v>3145</v>
      </c>
      <c r="G1">
        <v>25054</v>
      </c>
      <c r="H1">
        <v>44672419</v>
      </c>
      <c r="I1">
        <v>6501</v>
      </c>
      <c r="J1">
        <v>22131</v>
      </c>
      <c r="K1">
        <v>3345</v>
      </c>
      <c r="L1">
        <v>44657043</v>
      </c>
      <c r="M1">
        <v>94</v>
      </c>
      <c r="N1">
        <v>28608</v>
      </c>
      <c r="O1">
        <v>32065</v>
      </c>
      <c r="P1">
        <v>44629591</v>
      </c>
    </row>
    <row r="3" spans="1:16" x14ac:dyDescent="0.25">
      <c r="C3" t="s">
        <v>0</v>
      </c>
      <c r="D3">
        <f>SUM(A$1:D1)</f>
        <v>44694260</v>
      </c>
      <c r="G3" t="s">
        <v>1</v>
      </c>
      <c r="H3">
        <f>SUM(E$1:H1)</f>
        <v>44707493</v>
      </c>
      <c r="K3" t="s">
        <v>2</v>
      </c>
      <c r="L3">
        <f>SUM(I$1:L1)</f>
        <v>44689020</v>
      </c>
      <c r="O3" t="s">
        <v>3</v>
      </c>
      <c r="P3">
        <f>SUM(M$1:P1)</f>
        <v>44690358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2.2671815127938129E-4</v>
      </c>
      <c r="E8" t="s">
        <v>8</v>
      </c>
      <c r="F8" t="s">
        <v>9</v>
      </c>
      <c r="J8" t="s">
        <v>7</v>
      </c>
      <c r="K8">
        <f>SUM(I$1:J1)/SUM(I$1:L1)</f>
        <v>6.4069429134941869E-4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2.2412350430832701E-4</v>
      </c>
      <c r="E9">
        <f>(C8-C9)/((C10*(1-C10)*(1/$D3+1/$H3))^(1/2))</f>
        <v>0.81709661732359873</v>
      </c>
      <c r="F9">
        <f>(1-_xlfn.NORM.DIST(ABS(E9),0,1,TRUE))*2</f>
        <v>0.4138732159134535</v>
      </c>
      <c r="J9" t="s">
        <v>10</v>
      </c>
      <c r="K9">
        <f>SUM(M$1:N1)/SUM(M$1:P1)</f>
        <v>6.4224144277385295E-4</v>
      </c>
      <c r="M9">
        <f>(K8-K9)/((K10*(1-K10)*(1/$D3+1/$H3))^(1/2))</f>
        <v>-0.28888681382419079</v>
      </c>
      <c r="N9">
        <f>(1-_xlfn.NORM.DIST(ABS(M9),0,1,TRUE))*2</f>
        <v>0.77266799476698722</v>
      </c>
    </row>
    <row r="10" spans="1:16" x14ac:dyDescent="0.25">
      <c r="B10" t="s">
        <v>11</v>
      </c>
      <c r="C10">
        <f>(SUM(A$1:B1)+SUM(E$1:F1))/SUM(A$1:H1)</f>
        <v>2.2542063576762303E-4</v>
      </c>
      <c r="J10" t="s">
        <v>11</v>
      </c>
      <c r="K10">
        <f>(SUM(I$1:J1)+SUM(M$1:N1))/SUM(I$1:P1)</f>
        <v>6.4146787864198388E-4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2.176342107465254E-4</v>
      </c>
      <c r="F14" t="s">
        <v>7</v>
      </c>
      <c r="G14">
        <f>(SUM(E$1:E1)+SUM(G$1:G1))/SUM(E$1:H1)</f>
        <v>7.1417558573458816E-4</v>
      </c>
    </row>
    <row r="15" spans="1:16" x14ac:dyDescent="0.25">
      <c r="B15" t="s">
        <v>10</v>
      </c>
      <c r="C15">
        <f>(SUM(I$1:I1)+SUM(K$1:K1))/SUM(I$1:L1)</f>
        <v>2.2032257588105534E-4</v>
      </c>
      <c r="F15" t="s">
        <v>10</v>
      </c>
      <c r="G15">
        <f>(SUM(M$1:M1)+SUM(O$1:O1))/SUM(M$1:P1)</f>
        <v>7.1959593610773935E-4</v>
      </c>
    </row>
    <row r="16" spans="1:16" x14ac:dyDescent="0.25">
      <c r="B16" t="s">
        <v>11</v>
      </c>
      <c r="C16">
        <f>(SUM(A$1:A1)+SUM(C$1:C1)+SUM(I$1:I1)+SUM(K$1:K1))/(SUM(A$1:D1)+SUM(I$1:L1))</f>
        <v>2.1897831451251287E-4</v>
      </c>
      <c r="F16" t="s">
        <v>11</v>
      </c>
      <c r="G16">
        <f>(SUM(E$1:E1)+SUM(G$1:G1)+SUM(M$1:M1)+SUM(O$1:O1))/(SUM(E$1:H1)+SUM(M$1:P1))</f>
        <v>7.1688524145843279E-4</v>
      </c>
    </row>
    <row r="17" spans="1:13" x14ac:dyDescent="0.25">
      <c r="B17" t="s">
        <v>8</v>
      </c>
      <c r="C17">
        <f>(C14-C15)/((C16*(1-C16)*(1/$D3+1/$H3))^(1/2))</f>
        <v>-0.85897054697335418</v>
      </c>
      <c r="F17" t="s">
        <v>8</v>
      </c>
      <c r="G17">
        <f>(G14-G15)/((G16*(1-G16)*(1/$D3+1/$H3))^(1/2))</f>
        <v>-0.95741732694632509</v>
      </c>
    </row>
    <row r="18" spans="1:13" x14ac:dyDescent="0.25">
      <c r="B18" t="s">
        <v>9</v>
      </c>
      <c r="C18">
        <f>(1-_xlfn.NORM.DIST(ABS(C17),0,1,TRUE))*2</f>
        <v>0.39035676575484257</v>
      </c>
      <c r="F18" t="s">
        <v>9</v>
      </c>
      <c r="G18">
        <f>(1-_xlfn.NORM.DIST(ABS(G17),0,1,TRUE))*2</f>
        <v>0.33835665631363665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0.49992599138408395</v>
      </c>
      <c r="J24" t="s">
        <v>7</v>
      </c>
      <c r="K24">
        <f>SUM(A$1:D1)/(SUM(A$1:D1)+SUM(I$1:L1))</f>
        <v>0.50002931196975542</v>
      </c>
    </row>
    <row r="25" spans="1:13" x14ac:dyDescent="0.25">
      <c r="B25" t="s">
        <v>10</v>
      </c>
      <c r="C25">
        <f>SUM(I$1:L1)/SUM(I$1:P1)</f>
        <v>0.49999251505196196</v>
      </c>
      <c r="J25" t="s">
        <v>10</v>
      </c>
      <c r="K25">
        <f>SUM(E$1:H1)/(SUM(E$1:H1)+SUM(M$1:P1))</f>
        <v>0.50009583563703341</v>
      </c>
    </row>
    <row r="26" spans="1:13" x14ac:dyDescent="0.25">
      <c r="B26" t="s">
        <v>11</v>
      </c>
      <c r="C26">
        <f>(SUM(A$1:D1)+SUM(I$1:L1))/SUM(A$1:P1)</f>
        <v>0.49995924905520372</v>
      </c>
      <c r="J26" t="s">
        <v>11</v>
      </c>
      <c r="K26">
        <f>(SUM(A$1:D1)+SUM(E$1:H1))/SUM(A$1:P1)</f>
        <v>0.50006257651429664</v>
      </c>
    </row>
    <row r="27" spans="1:13" x14ac:dyDescent="0.25">
      <c r="B27" t="s">
        <v>8</v>
      </c>
      <c r="C27">
        <f>(C24-C25)/((C26*(1-C26)*(1/SUM(A$1:H1)+1/SUM(I$1:P1)))^(1/2))</f>
        <v>-0.88948171526193021</v>
      </c>
      <c r="J27" t="s">
        <v>8</v>
      </c>
      <c r="K27">
        <f>(K24-K25)/((K26*(1-K26)*(1/(SUM(A$1:D1)+SUM(I$1:L1))+1/(SUM(E$1:H1)+SUM(M$1:P1))))^(1/2))</f>
        <v>-0.88948171526288655</v>
      </c>
    </row>
    <row r="28" spans="1:13" x14ac:dyDescent="0.25">
      <c r="B28" t="s">
        <v>9</v>
      </c>
      <c r="C28">
        <f>(1-_xlfn.NORM.DIST(ABS(C27),0,1,TRUE))*2</f>
        <v>0.37374424573664111</v>
      </c>
      <c r="J28" t="s">
        <v>9</v>
      </c>
      <c r="K28">
        <f>(1-_xlfn.NORM.DIST(ABS(K27),0,1,TRUE))*2</f>
        <v>0.37374424573612752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0.50006257651429664</v>
      </c>
      <c r="E32">
        <f>(D32-1/2)*2*((SUM(A$1:P1))^(1/2))</f>
        <v>1.67340939843558</v>
      </c>
      <c r="F32">
        <f>(1-_xlfn.NORM.DIST(ABS(E32),0,1,TRUE))*2</f>
        <v>9.4246728926148604E-2</v>
      </c>
      <c r="I32" t="s">
        <v>21</v>
      </c>
      <c r="K32">
        <f>(SUM(A$1:D1)+SUM(I$1:L1))/SUM(A$1:P1)</f>
        <v>0.49995924905520372</v>
      </c>
      <c r="L32">
        <f>(K32-1/2)*2*((SUM(A$1:P1))^(1/2))</f>
        <v>-1.0897541159603374</v>
      </c>
      <c r="M32">
        <f>(1-_xlfn.NORM.DIST(ABS(L32),0,1,TRUE))*2</f>
        <v>0.27582147087536235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9527</v>
      </c>
      <c r="B1">
        <v>4684</v>
      </c>
      <c r="C1">
        <v>4348</v>
      </c>
      <c r="D1">
        <v>44675701</v>
      </c>
      <c r="E1">
        <v>9551</v>
      </c>
      <c r="F1">
        <v>4399</v>
      </c>
      <c r="G1">
        <v>35187</v>
      </c>
      <c r="H1">
        <v>44658356</v>
      </c>
      <c r="I1">
        <v>9213</v>
      </c>
      <c r="J1">
        <v>30947</v>
      </c>
      <c r="K1">
        <v>4683</v>
      </c>
      <c r="L1">
        <v>44644177</v>
      </c>
      <c r="M1">
        <v>134</v>
      </c>
      <c r="N1">
        <v>40207</v>
      </c>
      <c r="O1">
        <v>44740</v>
      </c>
      <c r="P1">
        <v>44605277</v>
      </c>
    </row>
    <row r="3" spans="1:16" x14ac:dyDescent="0.25">
      <c r="C3" t="s">
        <v>0</v>
      </c>
      <c r="D3">
        <f>SUM(A$1:D1)</f>
        <v>44694260</v>
      </c>
      <c r="G3" t="s">
        <v>1</v>
      </c>
      <c r="H3">
        <f>SUM(E$1:H1)</f>
        <v>44707493</v>
      </c>
      <c r="K3" t="s">
        <v>2</v>
      </c>
      <c r="L3">
        <f>SUM(I$1:L1)</f>
        <v>44689020</v>
      </c>
      <c r="O3" t="s">
        <v>3</v>
      </c>
      <c r="P3">
        <f>SUM(M$1:P1)</f>
        <v>44690358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3.1796029288772205E-4</v>
      </c>
      <c r="E8" t="s">
        <v>8</v>
      </c>
      <c r="F8" t="s">
        <v>9</v>
      </c>
      <c r="J8" t="s">
        <v>7</v>
      </c>
      <c r="K8">
        <f>SUM(I$1:J1)/SUM(I$1:L1)</f>
        <v>8.9865474785528977E-4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3.1202823204602416E-4</v>
      </c>
      <c r="E9">
        <f>(C8-C9)/((C10*(1-C10)*(1/$D3+1/$H3))^(1/2))</f>
        <v>1.5803963040572964</v>
      </c>
      <c r="F9">
        <f>(1-_xlfn.NORM.DIST(ABS(E9),0,1,TRUE))*2</f>
        <v>0.11401613745246397</v>
      </c>
      <c r="J9" t="s">
        <v>10</v>
      </c>
      <c r="K9">
        <f>SUM(M$1:N1)/SUM(M$1:P1)</f>
        <v>9.0267793334750199E-4</v>
      </c>
      <c r="M9">
        <f>(K8-K9)/((K10*(1-K10)*(1/$D3+1/$H3))^(1/2))</f>
        <v>-0.634054756879881</v>
      </c>
      <c r="N9">
        <f>(1-_xlfn.NORM.DIST(ABS(M9),0,1,TRUE))*2</f>
        <v>0.52604508762380209</v>
      </c>
    </row>
    <row r="10" spans="1:16" x14ac:dyDescent="0.25">
      <c r="B10" t="s">
        <v>11</v>
      </c>
      <c r="C10">
        <f>(SUM(A$1:B1)+SUM(E$1:F1))/SUM(A$1:H1)</f>
        <v>3.1499382344326069E-4</v>
      </c>
      <c r="J10" t="s">
        <v>11</v>
      </c>
      <c r="K10">
        <f>(SUM(I$1:J1)+SUM(M$1:N1))/SUM(I$1:P1)</f>
        <v>9.0066637071473023E-4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3.10442548998462E-4</v>
      </c>
      <c r="F14" t="s">
        <v>7</v>
      </c>
      <c r="G14">
        <f>(SUM(E$1:E1)+SUM(G$1:G1))/SUM(E$1:H1)</f>
        <v>1.0006823688369195E-3</v>
      </c>
    </row>
    <row r="15" spans="1:16" x14ac:dyDescent="0.25">
      <c r="B15" t="s">
        <v>10</v>
      </c>
      <c r="C15">
        <f>(SUM(I$1:I1)+SUM(K$1:K1))/SUM(I$1:L1)</f>
        <v>3.1094886394913111E-4</v>
      </c>
      <c r="F15" t="s">
        <v>10</v>
      </c>
      <c r="G15">
        <f>(SUM(M$1:M1)+SUM(O$1:O1))/SUM(M$1:P1)</f>
        <v>1.0041092085232345E-3</v>
      </c>
    </row>
    <row r="16" spans="1:16" x14ac:dyDescent="0.25">
      <c r="B16" t="s">
        <v>11</v>
      </c>
      <c r="C16">
        <f>(SUM(A$1:A1)+SUM(C$1:C1)+SUM(I$1:I1)+SUM(K$1:K1))/(SUM(A$1:D1)+SUM(I$1:L1))</f>
        <v>3.1069569163270802E-4</v>
      </c>
      <c r="F16" t="s">
        <v>11</v>
      </c>
      <c r="G16">
        <f>(SUM(E$1:E1)+SUM(G$1:G1)+SUM(M$1:M1)+SUM(O$1:O1))/(SUM(E$1:H1)+SUM(M$1:P1))</f>
        <v>1.0023954602667127E-3</v>
      </c>
    </row>
    <row r="17" spans="1:13" x14ac:dyDescent="0.25">
      <c r="B17" t="s">
        <v>8</v>
      </c>
      <c r="C17">
        <f>(C14-C15)/((C16*(1-C16)*(1/$D3+1/$H3))^(1/2))</f>
        <v>-0.13581996998504581</v>
      </c>
      <c r="F17" t="s">
        <v>8</v>
      </c>
      <c r="G17">
        <f>(G14-G15)/((G16*(1-G16)*(1/$D3+1/$H3))^(1/2))</f>
        <v>-0.51195882744257137</v>
      </c>
    </row>
    <row r="18" spans="1:13" x14ac:dyDescent="0.25">
      <c r="B18" t="s">
        <v>9</v>
      </c>
      <c r="C18">
        <f>(1-_xlfn.NORM.DIST(ABS(C17),0,1,TRUE))*2</f>
        <v>0.89196360358729132</v>
      </c>
      <c r="F18" t="s">
        <v>9</v>
      </c>
      <c r="G18">
        <f>(1-_xlfn.NORM.DIST(ABS(G17),0,1,TRUE))*2</f>
        <v>0.6086798252309451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0.49992599138408395</v>
      </c>
      <c r="J24" t="s">
        <v>7</v>
      </c>
      <c r="K24">
        <f>SUM(A$1:D1)/(SUM(A$1:D1)+SUM(I$1:L1))</f>
        <v>0.50002931196975542</v>
      </c>
    </row>
    <row r="25" spans="1:13" x14ac:dyDescent="0.25">
      <c r="B25" t="s">
        <v>10</v>
      </c>
      <c r="C25">
        <f>SUM(I$1:L1)/SUM(I$1:P1)</f>
        <v>0.49999251505196196</v>
      </c>
      <c r="J25" t="s">
        <v>10</v>
      </c>
      <c r="K25">
        <f>SUM(E$1:H1)/(SUM(E$1:H1)+SUM(M$1:P1))</f>
        <v>0.50009583563703341</v>
      </c>
    </row>
    <row r="26" spans="1:13" x14ac:dyDescent="0.25">
      <c r="B26" t="s">
        <v>11</v>
      </c>
      <c r="C26">
        <f>(SUM(A$1:D1)+SUM(I$1:L1))/SUM(A$1:P1)</f>
        <v>0.49995924905520372</v>
      </c>
      <c r="J26" t="s">
        <v>11</v>
      </c>
      <c r="K26">
        <f>(SUM(A$1:D1)+SUM(E$1:H1))/SUM(A$1:P1)</f>
        <v>0.50006257651429664</v>
      </c>
    </row>
    <row r="27" spans="1:13" x14ac:dyDescent="0.25">
      <c r="B27" t="s">
        <v>8</v>
      </c>
      <c r="C27">
        <f>(C24-C25)/((C26*(1-C26)*(1/SUM(A$1:H1)+1/SUM(I$1:P1)))^(1/2))</f>
        <v>-0.88948171526193021</v>
      </c>
      <c r="J27" t="s">
        <v>8</v>
      </c>
      <c r="K27">
        <f>(K24-K25)/((K26*(1-K26)*(1/(SUM(A$1:D1)+SUM(I$1:L1))+1/(SUM(E$1:H1)+SUM(M$1:P1))))^(1/2))</f>
        <v>-0.88948171526288655</v>
      </c>
    </row>
    <row r="28" spans="1:13" x14ac:dyDescent="0.25">
      <c r="B28" t="s">
        <v>9</v>
      </c>
      <c r="C28">
        <f>(1-_xlfn.NORM.DIST(ABS(C27),0,1,TRUE))*2</f>
        <v>0.37374424573664111</v>
      </c>
      <c r="J28" t="s">
        <v>9</v>
      </c>
      <c r="K28">
        <f>(1-_xlfn.NORM.DIST(ABS(K27),0,1,TRUE))*2</f>
        <v>0.37374424573612752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0.50006257651429664</v>
      </c>
      <c r="E32">
        <f>(D32-1/2)*2*((SUM(A$1:P1))^(1/2))</f>
        <v>1.67340939843558</v>
      </c>
      <c r="F32">
        <f>(1-_xlfn.NORM.DIST(ABS(E32),0,1,TRUE))*2</f>
        <v>9.4246728926148604E-2</v>
      </c>
      <c r="I32" t="s">
        <v>21</v>
      </c>
      <c r="K32">
        <f>(SUM(A$1:D1)+SUM(I$1:L1))/SUM(A$1:P1)</f>
        <v>0.49995924905520372</v>
      </c>
      <c r="L32">
        <f>(K32-1/2)*2*((SUM(A$1:P1))^(1/2))</f>
        <v>-1.0897541159603374</v>
      </c>
      <c r="M32">
        <f>(1-_xlfn.NORM.DIST(ABS(L32),0,1,TRUE))*2</f>
        <v>0.27582147087536235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R3" sqref="R3"/>
    </sheetView>
  </sheetViews>
  <sheetFormatPr defaultRowHeight="15" x14ac:dyDescent="0.25"/>
  <sheetData>
    <row r="1" spans="1:18" x14ac:dyDescent="0.25">
      <c r="A1">
        <v>12260</v>
      </c>
      <c r="B1">
        <v>5979</v>
      </c>
      <c r="C1">
        <v>5603</v>
      </c>
      <c r="D1">
        <v>44670418</v>
      </c>
      <c r="E1">
        <v>12408</v>
      </c>
      <c r="F1">
        <v>5624</v>
      </c>
      <c r="G1">
        <v>45202</v>
      </c>
      <c r="H1">
        <v>44644259</v>
      </c>
      <c r="I1">
        <v>11774</v>
      </c>
      <c r="J1">
        <v>39689</v>
      </c>
      <c r="K1">
        <v>5997</v>
      </c>
      <c r="L1">
        <v>44631560</v>
      </c>
      <c r="M1">
        <v>196</v>
      </c>
      <c r="N1">
        <v>51813</v>
      </c>
      <c r="O1">
        <v>57563</v>
      </c>
      <c r="P1">
        <v>44580786</v>
      </c>
    </row>
    <row r="3" spans="1:18" x14ac:dyDescent="0.25">
      <c r="C3" t="s">
        <v>0</v>
      </c>
      <c r="D3">
        <f>SUM(A$1:D1)</f>
        <v>44694260</v>
      </c>
      <c r="G3" t="s">
        <v>1</v>
      </c>
      <c r="H3">
        <f>SUM(E$1:H1)</f>
        <v>44707493</v>
      </c>
      <c r="K3" t="s">
        <v>2</v>
      </c>
      <c r="L3">
        <f>SUM(I$1:L1)</f>
        <v>44689020</v>
      </c>
      <c r="O3" t="s">
        <v>3</v>
      </c>
      <c r="P3">
        <f>SUM(M$1:P1)</f>
        <v>44690358</v>
      </c>
      <c r="R3">
        <f>D3+H3+L3+P3</f>
        <v>178781131</v>
      </c>
    </row>
    <row r="5" spans="1:18" x14ac:dyDescent="0.25">
      <c r="A5" t="s">
        <v>4</v>
      </c>
    </row>
    <row r="6" spans="1:18" x14ac:dyDescent="0.25">
      <c r="A6" t="s">
        <v>5</v>
      </c>
      <c r="I6" t="s">
        <v>6</v>
      </c>
    </row>
    <row r="8" spans="1:18" x14ac:dyDescent="0.25">
      <c r="B8" t="s">
        <v>7</v>
      </c>
      <c r="C8">
        <f>SUM(A$1:B1)/SUM(A$1:D1)</f>
        <v>4.0808372260778004E-4</v>
      </c>
      <c r="E8" t="s">
        <v>8</v>
      </c>
      <c r="F8" t="s">
        <v>9</v>
      </c>
      <c r="J8" t="s">
        <v>7</v>
      </c>
      <c r="K8">
        <f>SUM(I$1:J1)/SUM(I$1:L1)</f>
        <v>1.1515804105796011E-3</v>
      </c>
      <c r="M8" t="s">
        <v>8</v>
      </c>
      <c r="N8" t="s">
        <v>9</v>
      </c>
    </row>
    <row r="9" spans="1:18" x14ac:dyDescent="0.25">
      <c r="B9" t="s">
        <v>10</v>
      </c>
      <c r="C9">
        <f>SUM(E$1:F1)/SUM(E$1:H1)</f>
        <v>4.033328372941869E-4</v>
      </c>
      <c r="E9">
        <f>(C8-C9)/((C10*(1-C10)*(1/$D3+1/$H3))^(1/2))</f>
        <v>1.1153185678062922</v>
      </c>
      <c r="F9">
        <f>(1-_xlfn.NORM.DIST(ABS(E9),0,1,TRUE))*2</f>
        <v>0.26471393138119037</v>
      </c>
      <c r="J9" t="s">
        <v>10</v>
      </c>
      <c r="K9">
        <f>SUM(M$1:N1)/SUM(M$1:P1)</f>
        <v>1.163763333468933E-3</v>
      </c>
      <c r="M9">
        <f>(K8-K9)/((K10*(1-K10)*(1/$D3+1/$H3))^(1/2))</f>
        <v>-1.69376551098149</v>
      </c>
      <c r="N9">
        <f>(1-_xlfn.NORM.DIST(ABS(M9),0,1,TRUE))*2</f>
        <v>9.0309850238770251E-2</v>
      </c>
    </row>
    <row r="10" spans="1:18" x14ac:dyDescent="0.25">
      <c r="B10" t="s">
        <v>11</v>
      </c>
      <c r="C10">
        <f>(SUM(A$1:B1)+SUM(E$1:F1))/SUM(A$1:H1)</f>
        <v>4.0570792834453704E-4</v>
      </c>
      <c r="J10" t="s">
        <v>11</v>
      </c>
      <c r="K10">
        <f>(SUM(I$1:J1)+SUM(M$1:N1))/SUM(I$1:P1)</f>
        <v>1.1576719632128119E-3</v>
      </c>
    </row>
    <row r="12" spans="1:18" x14ac:dyDescent="0.25">
      <c r="A12" t="s">
        <v>12</v>
      </c>
      <c r="F12" t="s">
        <v>13</v>
      </c>
    </row>
    <row r="14" spans="1:18" x14ac:dyDescent="0.25">
      <c r="B14" t="s">
        <v>7</v>
      </c>
      <c r="C14">
        <f>(SUM(A$1:A1)+SUM(C$1:C1))/SUM(A$1:D1)</f>
        <v>3.9967100920789382E-4</v>
      </c>
      <c r="F14" t="s">
        <v>7</v>
      </c>
      <c r="G14">
        <f>(SUM(E$1:E1)+SUM(G$1:G1))/SUM(E$1:H1)</f>
        <v>1.2885983116968781E-3</v>
      </c>
    </row>
    <row r="15" spans="1:18" x14ac:dyDescent="0.25">
      <c r="B15" t="s">
        <v>10</v>
      </c>
      <c r="C15">
        <f>(SUM(I$1:I1)+SUM(K$1:K1))/SUM(I$1:L1)</f>
        <v>3.9765920129821597E-4</v>
      </c>
      <c r="F15" t="s">
        <v>10</v>
      </c>
      <c r="G15">
        <f>(SUM(M$1:M1)+SUM(O$1:O1))/SUM(M$1:P1)</f>
        <v>1.2924264334602108E-3</v>
      </c>
    </row>
    <row r="16" spans="1:18" x14ac:dyDescent="0.25">
      <c r="B16" t="s">
        <v>11</v>
      </c>
      <c r="C16">
        <f>(SUM(A$1:A1)+SUM(C$1:C1)+SUM(I$1:I1)+SUM(K$1:K1))/(SUM(A$1:D1)+SUM(I$1:L1))</f>
        <v>3.9866516422310748E-4</v>
      </c>
      <c r="F16" t="s">
        <v>11</v>
      </c>
      <c r="G16">
        <f>(SUM(E$1:E1)+SUM(G$1:G1)+SUM(M$1:M1)+SUM(O$1:O1))/(SUM(E$1:H1)+SUM(M$1:P1))</f>
        <v>1.2905120057080566E-3</v>
      </c>
    </row>
    <row r="17" spans="1:13" x14ac:dyDescent="0.25">
      <c r="B17" t="s">
        <v>8</v>
      </c>
      <c r="C17">
        <f>(C14-C15)/((C16*(1-C16)*(1/$D3+1/$H3))^(1/2))</f>
        <v>0.47644411874429538</v>
      </c>
      <c r="F17" t="s">
        <v>8</v>
      </c>
      <c r="G17">
        <f>(G14-G15)/((G16*(1-G16)*(1/$D3+1/$H3))^(1/2))</f>
        <v>-0.50411329072023514</v>
      </c>
    </row>
    <row r="18" spans="1:13" x14ac:dyDescent="0.25">
      <c r="B18" t="s">
        <v>9</v>
      </c>
      <c r="C18">
        <f>(1-_xlfn.NORM.DIST(ABS(C17),0,1,TRUE))*2</f>
        <v>0.63375800965253015</v>
      </c>
      <c r="F18" t="s">
        <v>9</v>
      </c>
      <c r="G18">
        <f>(1-_xlfn.NORM.DIST(ABS(G17),0,1,TRUE))*2</f>
        <v>0.61418176780767442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0.49992599138408395</v>
      </c>
      <c r="J24" t="s">
        <v>7</v>
      </c>
      <c r="K24">
        <f>SUM(A$1:D1)/(SUM(A$1:D1)+SUM(I$1:L1))</f>
        <v>0.50002931196975542</v>
      </c>
    </row>
    <row r="25" spans="1:13" x14ac:dyDescent="0.25">
      <c r="B25" t="s">
        <v>10</v>
      </c>
      <c r="C25">
        <f>SUM(I$1:L1)/SUM(I$1:P1)</f>
        <v>0.49999251505196196</v>
      </c>
      <c r="J25" t="s">
        <v>10</v>
      </c>
      <c r="K25">
        <f>SUM(E$1:H1)/(SUM(E$1:H1)+SUM(M$1:P1))</f>
        <v>0.50009583563703341</v>
      </c>
    </row>
    <row r="26" spans="1:13" x14ac:dyDescent="0.25">
      <c r="B26" t="s">
        <v>11</v>
      </c>
      <c r="C26">
        <f>(SUM(A$1:D1)+SUM(I$1:L1))/SUM(A$1:P1)</f>
        <v>0.49995924905520372</v>
      </c>
      <c r="J26" t="s">
        <v>11</v>
      </c>
      <c r="K26">
        <f>(SUM(A$1:D1)+SUM(E$1:H1))/SUM(A$1:P1)</f>
        <v>0.50006257651429664</v>
      </c>
    </row>
    <row r="27" spans="1:13" x14ac:dyDescent="0.25">
      <c r="B27" t="s">
        <v>8</v>
      </c>
      <c r="C27">
        <f>(C24-C25)/((C26*(1-C26)*(1/SUM(A$1:H1)+1/SUM(I$1:P1)))^(1/2))</f>
        <v>-0.88948171526193021</v>
      </c>
      <c r="J27" t="s">
        <v>8</v>
      </c>
      <c r="K27">
        <f>(K24-K25)/((K26*(1-K26)*(1/(SUM(A$1:D1)+SUM(I$1:L1))+1/(SUM(E$1:H1)+SUM(M$1:P1))))^(1/2))</f>
        <v>-0.88948171526288655</v>
      </c>
    </row>
    <row r="28" spans="1:13" x14ac:dyDescent="0.25">
      <c r="B28" t="s">
        <v>9</v>
      </c>
      <c r="C28">
        <f>(1-_xlfn.NORM.DIST(ABS(C27),0,1,TRUE))*2</f>
        <v>0.37374424573664111</v>
      </c>
      <c r="J28" t="s">
        <v>9</v>
      </c>
      <c r="K28">
        <f>(1-_xlfn.NORM.DIST(ABS(K27),0,1,TRUE))*2</f>
        <v>0.37374424573612752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0.50006257651429664</v>
      </c>
      <c r="E32">
        <f>(D32-1/2)*2*((SUM(A$1:P1))^(1/2))</f>
        <v>1.67340939843558</v>
      </c>
      <c r="F32">
        <f>(1-_xlfn.NORM.DIST(ABS(E32),0,1,TRUE))*2</f>
        <v>9.4246728926148604E-2</v>
      </c>
      <c r="I32" t="s">
        <v>21</v>
      </c>
      <c r="K32">
        <f>(SUM(A$1:D1)+SUM(I$1:L1))/SUM(A$1:P1)</f>
        <v>0.49995924905520372</v>
      </c>
      <c r="L32">
        <f>(K32-1/2)*2*((SUM(A$1:P1))^(1/2))</f>
        <v>-1.0897541159603374</v>
      </c>
      <c r="M32">
        <f>(1-_xlfn.NORM.DIST(ABS(L32),0,1,TRUE))*2</f>
        <v>0.27582147087536235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456</vt:lpstr>
      <vt:lpstr>34567</vt:lpstr>
      <vt:lpstr>2345678</vt:lpstr>
      <vt:lpstr>123456789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2015-10-15T20:49:21Z</dcterms:modified>
</cp:coreProperties>
</file>