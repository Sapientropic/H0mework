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4"/>
  </bookViews>
  <sheets>
    <sheet name="5" sheetId="1" r:id="rId1"/>
    <sheet name="456" sheetId="2" r:id="rId2"/>
    <sheet name="34567" sheetId="3" r:id="rId3"/>
    <sheet name="2345678" sheetId="4" r:id="rId4"/>
    <sheet name="123456789" sheetId="5" r:id="rId5"/>
  </sheets>
  <calcPr calcId="152511"/>
</workbook>
</file>

<file path=xl/calcChain.xml><?xml version="1.0" encoding="utf-8"?>
<calcChain xmlns="http://schemas.openxmlformats.org/spreadsheetml/2006/main">
  <c r="C27" i="5" l="1"/>
  <c r="R3" i="1" l="1"/>
  <c r="K32" i="5" l="1"/>
  <c r="L32" i="5" s="1"/>
  <c r="M32" i="5" s="1"/>
  <c r="D32" i="5"/>
  <c r="E32" i="5" s="1"/>
  <c r="F32" i="5" s="1"/>
  <c r="K26" i="5"/>
  <c r="K27" i="5" s="1"/>
  <c r="K28" i="5" s="1"/>
  <c r="C26" i="5"/>
  <c r="K25" i="5"/>
  <c r="C25" i="5"/>
  <c r="C28" i="5" s="1"/>
  <c r="K24" i="5"/>
  <c r="C24" i="5"/>
  <c r="G17" i="5"/>
  <c r="G18" i="5" s="1"/>
  <c r="G16" i="5"/>
  <c r="C16" i="5"/>
  <c r="G15" i="5"/>
  <c r="C15" i="5"/>
  <c r="G14" i="5"/>
  <c r="C14" i="5"/>
  <c r="C17" i="5" s="1"/>
  <c r="C18" i="5" s="1"/>
  <c r="K10" i="5"/>
  <c r="C10" i="5"/>
  <c r="K9" i="5"/>
  <c r="C9" i="5"/>
  <c r="E9" i="5" s="1"/>
  <c r="F9" i="5" s="1"/>
  <c r="K8" i="5"/>
  <c r="M9" i="5" s="1"/>
  <c r="N9" i="5" s="1"/>
  <c r="C8" i="5"/>
  <c r="P3" i="5"/>
  <c r="L3" i="5"/>
  <c r="H3" i="5"/>
  <c r="D3" i="5"/>
  <c r="K32" i="4"/>
  <c r="L32" i="4" s="1"/>
  <c r="M32" i="4" s="1"/>
  <c r="D32" i="4"/>
  <c r="E32" i="4" s="1"/>
  <c r="F32" i="4" s="1"/>
  <c r="K26" i="4"/>
  <c r="C26" i="4"/>
  <c r="K25" i="4"/>
  <c r="C25" i="4"/>
  <c r="K24" i="4"/>
  <c r="K27" i="4" s="1"/>
  <c r="K28" i="4" s="1"/>
  <c r="C24" i="4"/>
  <c r="C27" i="4" s="1"/>
  <c r="C28" i="4" s="1"/>
  <c r="G16" i="4"/>
  <c r="C16" i="4"/>
  <c r="G15" i="4"/>
  <c r="C15" i="4"/>
  <c r="C17" i="4" s="1"/>
  <c r="C18" i="4" s="1"/>
  <c r="G14" i="4"/>
  <c r="G17" i="4" s="1"/>
  <c r="G18" i="4" s="1"/>
  <c r="C14" i="4"/>
  <c r="K10" i="4"/>
  <c r="C10" i="4"/>
  <c r="K9" i="4"/>
  <c r="C9" i="4"/>
  <c r="K8" i="4"/>
  <c r="M9" i="4" s="1"/>
  <c r="N9" i="4" s="1"/>
  <c r="C8" i="4"/>
  <c r="E9" i="4" s="1"/>
  <c r="F9" i="4" s="1"/>
  <c r="P3" i="4"/>
  <c r="L3" i="4"/>
  <c r="H3" i="4"/>
  <c r="D3" i="4"/>
  <c r="L32" i="3"/>
  <c r="M32" i="3" s="1"/>
  <c r="K32" i="3"/>
  <c r="D32" i="3"/>
  <c r="E32" i="3" s="1"/>
  <c r="F32" i="3" s="1"/>
  <c r="K26" i="3"/>
  <c r="C26" i="3"/>
  <c r="K25" i="3"/>
  <c r="C25" i="3"/>
  <c r="K24" i="3"/>
  <c r="K27" i="3" s="1"/>
  <c r="K28" i="3" s="1"/>
  <c r="C24" i="3"/>
  <c r="C27" i="3" s="1"/>
  <c r="C28" i="3" s="1"/>
  <c r="G16" i="3"/>
  <c r="C16" i="3"/>
  <c r="G15" i="3"/>
  <c r="C15" i="3"/>
  <c r="G14" i="3"/>
  <c r="G17" i="3" s="1"/>
  <c r="G18" i="3" s="1"/>
  <c r="C14" i="3"/>
  <c r="C17" i="3" s="1"/>
  <c r="C18" i="3" s="1"/>
  <c r="K10" i="3"/>
  <c r="C10" i="3"/>
  <c r="K9" i="3"/>
  <c r="M9" i="3" s="1"/>
  <c r="N9" i="3" s="1"/>
  <c r="C9" i="3"/>
  <c r="K8" i="3"/>
  <c r="C8" i="3"/>
  <c r="E9" i="3" s="1"/>
  <c r="F9" i="3" s="1"/>
  <c r="P3" i="3"/>
  <c r="L3" i="3"/>
  <c r="H3" i="3"/>
  <c r="D3" i="3"/>
  <c r="L32" i="2"/>
  <c r="M32" i="2" s="1"/>
  <c r="K32" i="2"/>
  <c r="D32" i="2"/>
  <c r="E32" i="2" s="1"/>
  <c r="F32" i="2" s="1"/>
  <c r="C27" i="2"/>
  <c r="C28" i="2" s="1"/>
  <c r="K26" i="2"/>
  <c r="C26" i="2"/>
  <c r="K25" i="2"/>
  <c r="C25" i="2"/>
  <c r="K24" i="2"/>
  <c r="K27" i="2" s="1"/>
  <c r="K28" i="2" s="1"/>
  <c r="C24" i="2"/>
  <c r="G16" i="2"/>
  <c r="C16" i="2"/>
  <c r="G15" i="2"/>
  <c r="C15" i="2"/>
  <c r="G14" i="2"/>
  <c r="G17" i="2" s="1"/>
  <c r="G18" i="2" s="1"/>
  <c r="C14" i="2"/>
  <c r="C17" i="2" s="1"/>
  <c r="C18" i="2" s="1"/>
  <c r="K10" i="2"/>
  <c r="C10" i="2"/>
  <c r="K9" i="2"/>
  <c r="M9" i="2" s="1"/>
  <c r="N9" i="2" s="1"/>
  <c r="C9" i="2"/>
  <c r="E9" i="2" s="1"/>
  <c r="F9" i="2" s="1"/>
  <c r="K8" i="2"/>
  <c r="C8" i="2"/>
  <c r="P3" i="2"/>
  <c r="L3" i="2"/>
  <c r="H3" i="2"/>
  <c r="D3" i="2"/>
  <c r="K32" i="1"/>
  <c r="L32" i="1" s="1"/>
  <c r="M32" i="1" s="1"/>
  <c r="D32" i="1"/>
  <c r="E32" i="1" s="1"/>
  <c r="F32" i="1" s="1"/>
  <c r="K26" i="1"/>
  <c r="C26" i="1"/>
  <c r="K25" i="1"/>
  <c r="C25" i="1"/>
  <c r="C27" i="1" s="1"/>
  <c r="C28" i="1" s="1"/>
  <c r="K24" i="1"/>
  <c r="K27" i="1" s="1"/>
  <c r="K28" i="1" s="1"/>
  <c r="C24" i="1"/>
  <c r="C17" i="1"/>
  <c r="C18" i="1" s="1"/>
  <c r="G16" i="1"/>
  <c r="C16" i="1"/>
  <c r="G15" i="1"/>
  <c r="G17" i="1" s="1"/>
  <c r="G18" i="1" s="1"/>
  <c r="C15" i="1"/>
  <c r="G14" i="1"/>
  <c r="C14" i="1"/>
  <c r="K10" i="1"/>
  <c r="C10" i="1"/>
  <c r="K9" i="1"/>
  <c r="C9" i="1"/>
  <c r="K8" i="1"/>
  <c r="M9" i="1" s="1"/>
  <c r="N9" i="1" s="1"/>
  <c r="C8" i="1"/>
  <c r="E9" i="1" s="1"/>
  <c r="F9" i="1" s="1"/>
  <c r="P3" i="1"/>
  <c r="L3" i="1"/>
  <c r="H3" i="1"/>
  <c r="D3" i="1"/>
</calcChain>
</file>

<file path=xl/sharedStrings.xml><?xml version="1.0" encoding="utf-8"?>
<sst xmlns="http://schemas.openxmlformats.org/spreadsheetml/2006/main" count="255" uniqueCount="22">
  <si>
    <t>ab</t>
  </si>
  <si>
    <t>ab'</t>
  </si>
  <si>
    <t>a'b</t>
  </si>
  <si>
    <t>a'b'</t>
  </si>
  <si>
    <t>NO SIGNALING TESTS USING IID ASSUMPTION</t>
  </si>
  <si>
    <t>Bob effect on Alice success prob when Alice=a</t>
  </si>
  <si>
    <t>Bob effect on Alice success prob when Alice=a'</t>
  </si>
  <si>
    <t>p1-hat</t>
  </si>
  <si>
    <t>z</t>
  </si>
  <si>
    <t>p-value</t>
  </si>
  <si>
    <t>p2-hat</t>
  </si>
  <si>
    <t>ppool</t>
  </si>
  <si>
    <t>Alice effect on Bob success prob when Bob=b</t>
  </si>
  <si>
    <t>Alice effect on Bob success prob when Bob=b'</t>
  </si>
  <si>
    <t>INDEPENDENCE OF SETTINGS USING IID ASSUMPTIONS</t>
  </si>
  <si>
    <t>Does Alice's choice of setting influence Bob's setting probabilities?</t>
  </si>
  <si>
    <t>Does Bob's choice of setting influence Alice's setting probabilities?</t>
  </si>
  <si>
    <t>TESTING WHETHER INDIVIDUAL SETTING PROBABILTIES = 1/2</t>
  </si>
  <si>
    <t>P(a)</t>
  </si>
  <si>
    <t>P(b)</t>
  </si>
  <si>
    <t>Alice = 1/2 ?</t>
  </si>
  <si>
    <t>Bob=1/2 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</si>
</sst>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2"/>
  <sheetViews>
    <sheetView workbookViewId="0">
      <selection activeCell="K27" sqref="K27"/>
    </sheetView>
  </sheetViews>
  <sheetFormatPr defaultRowHeight="15" x14ac:dyDescent="0.25"/>
  <cols>
    <col min="18" max="18" width="10" bestFit="1" customWidth="1"/>
  </cols>
  <sheetData>
    <row r="1" spans="1:18" x14ac:dyDescent="0.25">
      <c r="A1">
        <v>1348</v>
      </c>
      <c r="B1">
        <v>644</v>
      </c>
      <c r="C1">
        <v>795</v>
      </c>
      <c r="D1">
        <v>50912321</v>
      </c>
      <c r="E1">
        <v>1363</v>
      </c>
      <c r="F1">
        <v>640</v>
      </c>
      <c r="G1">
        <v>5401</v>
      </c>
      <c r="H1">
        <v>50904153</v>
      </c>
      <c r="I1">
        <v>1415</v>
      </c>
      <c r="J1">
        <v>4859</v>
      </c>
      <c r="K1">
        <v>686</v>
      </c>
      <c r="L1">
        <v>50893060</v>
      </c>
      <c r="M1">
        <v>13</v>
      </c>
      <c r="N1">
        <v>6216</v>
      </c>
      <c r="O1">
        <v>6709</v>
      </c>
      <c r="P1">
        <v>50889619</v>
      </c>
    </row>
    <row r="3" spans="1:18" x14ac:dyDescent="0.25">
      <c r="C3" t="s">
        <v>0</v>
      </c>
      <c r="D3">
        <f>SUM(A$1:D1)</f>
        <v>50915108</v>
      </c>
      <c r="G3" t="s">
        <v>1</v>
      </c>
      <c r="H3">
        <f>SUM(E$1:H1)</f>
        <v>50911557</v>
      </c>
      <c r="K3" t="s">
        <v>2</v>
      </c>
      <c r="L3">
        <f>SUM(I$1:L1)</f>
        <v>50900020</v>
      </c>
      <c r="O3" t="s">
        <v>3</v>
      </c>
      <c r="P3">
        <f>SUM(M$1:P1)</f>
        <v>50902557</v>
      </c>
      <c r="R3">
        <f>D3+H3+L3+P3</f>
        <v>203629242</v>
      </c>
    </row>
    <row r="5" spans="1:18" x14ac:dyDescent="0.25">
      <c r="A5" t="s">
        <v>4</v>
      </c>
    </row>
    <row r="6" spans="1:18" x14ac:dyDescent="0.25">
      <c r="A6" t="s">
        <v>5</v>
      </c>
      <c r="I6" t="s">
        <v>6</v>
      </c>
    </row>
    <row r="8" spans="1:18" x14ac:dyDescent="0.25">
      <c r="B8" t="s">
        <v>7</v>
      </c>
      <c r="C8">
        <f>SUM(A$1:B1)/SUM(A$1:D1)</f>
        <v>3.9123947257462361E-5</v>
      </c>
      <c r="E8" t="s">
        <v>8</v>
      </c>
      <c r="F8" t="s">
        <v>9</v>
      </c>
      <c r="J8" t="s">
        <v>7</v>
      </c>
      <c r="K8">
        <f>SUM(I$1:J1)/SUM(I$1:L1)</f>
        <v>1.2326124822740738E-4</v>
      </c>
      <c r="M8" t="s">
        <v>8</v>
      </c>
      <c r="N8" t="s">
        <v>9</v>
      </c>
    </row>
    <row r="9" spans="1:18" x14ac:dyDescent="0.25">
      <c r="B9" t="s">
        <v>10</v>
      </c>
      <c r="C9">
        <f>SUM(E$1:F1)/SUM(E$1:H1)</f>
        <v>3.934273705280709E-5</v>
      </c>
      <c r="E9">
        <f>(C8-C9)/((C10*(1-C10)*(1/$D3+1/$H3))^(1/2))</f>
        <v>-0.17624171650559423</v>
      </c>
      <c r="F9">
        <f>(1-_xlfn.NORM.DIST(ABS(E9),0,1,TRUE))*2</f>
        <v>0.86010404865180234</v>
      </c>
      <c r="J9" t="s">
        <v>10</v>
      </c>
      <c r="K9">
        <f>SUM(M$1:N1)/SUM(M$1:P1)</f>
        <v>1.2237106281320995E-4</v>
      </c>
      <c r="M9">
        <f>(K8-K9)/((K10*(1-K10)*(1/$D3+1/$H3))^(1/2))</f>
        <v>0.40530333682517827</v>
      </c>
      <c r="N9">
        <f>(1-_xlfn.NORM.DIST(ABS(M9),0,1,TRUE))*2</f>
        <v>0.68525455403418678</v>
      </c>
    </row>
    <row r="10" spans="1:18" x14ac:dyDescent="0.25">
      <c r="B10" t="s">
        <v>11</v>
      </c>
      <c r="C10">
        <f>(SUM(A$1:B1)+SUM(E$1:F1))/SUM(A$1:H1)</f>
        <v>3.9233338340207842E-5</v>
      </c>
      <c r="J10" t="s">
        <v>11</v>
      </c>
      <c r="K10">
        <f>(SUM(I$1:J1)+SUM(M$1:N1))/SUM(I$1:P1)</f>
        <v>1.2281614442824959E-4</v>
      </c>
    </row>
    <row r="12" spans="1:18" x14ac:dyDescent="0.25">
      <c r="A12" t="s">
        <v>12</v>
      </c>
      <c r="F12" t="s">
        <v>13</v>
      </c>
    </row>
    <row r="14" spans="1:18" x14ac:dyDescent="0.25">
      <c r="B14" t="s">
        <v>7</v>
      </c>
      <c r="C14">
        <f>(SUM(A$1:A1)+SUM(C$1:C1))/SUM(A$1:D1)</f>
        <v>4.2089668159006946E-5</v>
      </c>
      <c r="F14" t="s">
        <v>7</v>
      </c>
      <c r="G14">
        <f>(SUM(E$1:E1)+SUM(G$1:G1))/SUM(E$1:H1)</f>
        <v>1.3285784993768705E-4</v>
      </c>
    </row>
    <row r="15" spans="1:18" x14ac:dyDescent="0.25">
      <c r="B15" t="s">
        <v>10</v>
      </c>
      <c r="C15">
        <f>(SUM(I$1:I1)+SUM(K$1:K1))/SUM(I$1:L1)</f>
        <v>4.1276997533596255E-5</v>
      </c>
      <c r="F15" t="s">
        <v>10</v>
      </c>
      <c r="G15">
        <f>(SUM(M$1:M1)+SUM(O$1:O1))/SUM(M$1:P1)</f>
        <v>1.3205623442453E-4</v>
      </c>
    </row>
    <row r="16" spans="1:18" x14ac:dyDescent="0.25">
      <c r="B16" t="s">
        <v>11</v>
      </c>
      <c r="C16">
        <f>(SUM(A$1:A1)+SUM(C$1:C1)+SUM(I$1:I1)+SUM(K$1:K1))/(SUM(A$1:D1)+SUM(I$1:L1))</f>
        <v>4.1683393061196174E-5</v>
      </c>
      <c r="F16" t="s">
        <v>11</v>
      </c>
      <c r="G16">
        <f>(SUM(E$1:E1)+SUM(G$1:G1)+SUM(M$1:M1)+SUM(O$1:O1))/(SUM(E$1:H1)+SUM(M$1:P1))</f>
        <v>1.3245707761106677E-4</v>
      </c>
    </row>
    <row r="17" spans="1:13" x14ac:dyDescent="0.25">
      <c r="B17" t="s">
        <v>8</v>
      </c>
      <c r="C17">
        <f>(C14-C15)/((C16*(1-C16)*(1/$D3+1/$H3))^(1/2))</f>
        <v>0.63510107238852798</v>
      </c>
      <c r="F17" t="s">
        <v>8</v>
      </c>
      <c r="G17">
        <f>(G14-G15)/((G16*(1-G16)*(1/$D3+1/$H3))^(1/2))</f>
        <v>0.35144555710897019</v>
      </c>
    </row>
    <row r="18" spans="1:13" x14ac:dyDescent="0.25">
      <c r="B18" t="s">
        <v>9</v>
      </c>
      <c r="C18">
        <f>(1-_xlfn.NORM.DIST(ABS(C17),0,1,TRUE))*2</f>
        <v>0.5253624976911131</v>
      </c>
      <c r="F18" t="s">
        <v>9</v>
      </c>
      <c r="G18">
        <f>(1-_xlfn.NORM.DIST(ABS(G17),0,1,TRUE))*2</f>
        <v>0.72525410971847526</v>
      </c>
    </row>
    <row r="20" spans="1:13" x14ac:dyDescent="0.25">
      <c r="A20" t="s">
        <v>14</v>
      </c>
    </row>
    <row r="22" spans="1:13" x14ac:dyDescent="0.25">
      <c r="A22" t="s">
        <v>15</v>
      </c>
      <c r="I22" t="s">
        <v>16</v>
      </c>
    </row>
    <row r="24" spans="1:13" x14ac:dyDescent="0.25">
      <c r="B24" t="s">
        <v>7</v>
      </c>
      <c r="C24">
        <f>SUM(A$1:D1)/SUM(A$1:H1)</f>
        <v>0.50001743649367281</v>
      </c>
      <c r="J24" t="s">
        <v>7</v>
      </c>
      <c r="K24">
        <f>SUM(A$1:D1)/(SUM(A$1:D1)+SUM(I$1:L1))</f>
        <v>0.50007409507946599</v>
      </c>
    </row>
    <row r="25" spans="1:13" x14ac:dyDescent="0.25">
      <c r="B25" t="s">
        <v>10</v>
      </c>
      <c r="C25">
        <f>SUM(I$1:L1)/SUM(I$1:P1)</f>
        <v>0.49998753960815745</v>
      </c>
      <c r="J25" t="s">
        <v>10</v>
      </c>
      <c r="K25">
        <f>SUM(E$1:H1)/(SUM(E$1:H1)+SUM(M$1:P1))</f>
        <v>0.50004419819436818</v>
      </c>
    </row>
    <row r="26" spans="1:13" x14ac:dyDescent="0.25">
      <c r="B26" t="s">
        <v>11</v>
      </c>
      <c r="C26">
        <f>(SUM(A$1:D1)+SUM(I$1:L1))/SUM(A$1:P1)</f>
        <v>0.50000248981921758</v>
      </c>
      <c r="J26" t="s">
        <v>11</v>
      </c>
      <c r="K26">
        <f>(SUM(A$1:D1)+SUM(E$1:H1))/SUM(A$1:P1)</f>
        <v>0.50005914671135498</v>
      </c>
    </row>
    <row r="27" spans="1:13" x14ac:dyDescent="0.25">
      <c r="B27" t="s">
        <v>8</v>
      </c>
      <c r="C27">
        <f>(C24-C25)/((C26*(1-C26)*(1/SUM(A$1:H1)+1/SUM(I$1:P1)))^(1/2))</f>
        <v>0.42662472139391594</v>
      </c>
      <c r="J27" t="s">
        <v>8</v>
      </c>
      <c r="K27">
        <f>(K24-K25)/((K26*(1-K26)*(1/(SUM(A$1:D1)+SUM(I$1:L1))+1/(SUM(E$1:H1)+SUM(M$1:P1))))^(1/2))</f>
        <v>0.42662472139478458</v>
      </c>
    </row>
    <row r="28" spans="1:13" x14ac:dyDescent="0.25">
      <c r="B28" t="s">
        <v>9</v>
      </c>
      <c r="C28">
        <f>(1-_xlfn.NORM.DIST(ABS(C27),0,1,TRUE))*2</f>
        <v>0.66965268860635252</v>
      </c>
      <c r="J28" t="s">
        <v>9</v>
      </c>
      <c r="K28">
        <f>(1-_xlfn.NORM.DIST(ABS(K27),0,1,TRUE))*2</f>
        <v>0.66965268860571991</v>
      </c>
    </row>
    <row r="30" spans="1:13" x14ac:dyDescent="0.25">
      <c r="A30" t="s">
        <v>17</v>
      </c>
    </row>
    <row r="31" spans="1:13" x14ac:dyDescent="0.25">
      <c r="D31" t="s">
        <v>18</v>
      </c>
      <c r="E31" t="s">
        <v>8</v>
      </c>
      <c r="F31" t="s">
        <v>9</v>
      </c>
      <c r="K31" t="s">
        <v>19</v>
      </c>
      <c r="L31" t="s">
        <v>8</v>
      </c>
      <c r="M31" t="s">
        <v>9</v>
      </c>
    </row>
    <row r="32" spans="1:13" x14ac:dyDescent="0.25">
      <c r="B32" t="s">
        <v>20</v>
      </c>
      <c r="D32">
        <f>SUM(A$1:H1)/SUM(A$1:P1)</f>
        <v>0.50005914671135498</v>
      </c>
      <c r="E32">
        <f>(D32-1/2)*2*((SUM(A$1:P1))^(1/2))</f>
        <v>1.6880319802183035</v>
      </c>
      <c r="F32">
        <f>(1-_xlfn.NORM.DIST(ABS(E32),0,1,TRUE))*2</f>
        <v>9.1405090153980018E-2</v>
      </c>
      <c r="I32" t="s">
        <v>21</v>
      </c>
      <c r="K32">
        <f>(SUM(A$1:D1)+SUM(I$1:L1))/SUM(A$1:P1)</f>
        <v>0.50000248981921758</v>
      </c>
      <c r="L32">
        <f>(K32-1/2)*2*((SUM(A$1:P1))^(1/2))</f>
        <v>7.1058802221604739E-2</v>
      </c>
      <c r="M32">
        <f>(1-_xlfn.NORM.DIST(ABS(L32),0,1,TRUE))*2</f>
        <v>0.94335095631157762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workbookViewId="0">
      <selection activeCell="S21" sqref="S21"/>
    </sheetView>
  </sheetViews>
  <sheetFormatPr defaultRowHeight="15" x14ac:dyDescent="0.25"/>
  <sheetData>
    <row r="1" spans="1:16" x14ac:dyDescent="0.25">
      <c r="A1">
        <v>3982</v>
      </c>
      <c r="B1">
        <v>2007</v>
      </c>
      <c r="C1">
        <v>2327</v>
      </c>
      <c r="D1">
        <v>50906792</v>
      </c>
      <c r="E1">
        <v>4172</v>
      </c>
      <c r="F1">
        <v>1881</v>
      </c>
      <c r="G1">
        <v>16115</v>
      </c>
      <c r="H1">
        <v>50889389</v>
      </c>
      <c r="I1">
        <v>4238</v>
      </c>
      <c r="J1">
        <v>14659</v>
      </c>
      <c r="K1">
        <v>2022</v>
      </c>
      <c r="L1">
        <v>50879101</v>
      </c>
      <c r="M1">
        <v>38</v>
      </c>
      <c r="N1">
        <v>18913</v>
      </c>
      <c r="O1">
        <v>20290</v>
      </c>
      <c r="P1">
        <v>50863316</v>
      </c>
    </row>
    <row r="3" spans="1:16" x14ac:dyDescent="0.25">
      <c r="C3" t="s">
        <v>0</v>
      </c>
      <c r="D3">
        <f>SUM(A$1:D1)</f>
        <v>50915108</v>
      </c>
      <c r="G3" t="s">
        <v>1</v>
      </c>
      <c r="H3">
        <f>SUM(E$1:H1)</f>
        <v>50911557</v>
      </c>
      <c r="K3" t="s">
        <v>2</v>
      </c>
      <c r="L3">
        <f>SUM(I$1:L1)</f>
        <v>50900020</v>
      </c>
      <c r="O3" t="s">
        <v>3</v>
      </c>
      <c r="P3">
        <f>SUM(M$1:P1)</f>
        <v>50902557</v>
      </c>
    </row>
    <row r="5" spans="1:16" x14ac:dyDescent="0.25">
      <c r="A5" t="s">
        <v>4</v>
      </c>
    </row>
    <row r="6" spans="1:16" x14ac:dyDescent="0.25">
      <c r="A6" t="s">
        <v>5</v>
      </c>
      <c r="I6" t="s">
        <v>6</v>
      </c>
    </row>
    <row r="8" spans="1:16" x14ac:dyDescent="0.25">
      <c r="B8" t="s">
        <v>7</v>
      </c>
      <c r="C8">
        <f>SUM(A$1:B1)/SUM(A$1:D1)</f>
        <v>1.1762716873742073E-4</v>
      </c>
      <c r="E8" t="s">
        <v>8</v>
      </c>
      <c r="F8" t="s">
        <v>9</v>
      </c>
      <c r="J8" t="s">
        <v>7</v>
      </c>
      <c r="K8">
        <f>SUM(I$1:J1)/SUM(I$1:L1)</f>
        <v>3.7125722150993263E-4</v>
      </c>
      <c r="M8" t="s">
        <v>8</v>
      </c>
      <c r="N8" t="s">
        <v>9</v>
      </c>
    </row>
    <row r="9" spans="1:16" x14ac:dyDescent="0.25">
      <c r="B9" t="s">
        <v>10</v>
      </c>
      <c r="C9">
        <f>SUM(E$1:F1)/SUM(E$1:H1)</f>
        <v>1.1889245500780894E-4</v>
      </c>
      <c r="E9">
        <f>(C8-C9)/((C10*(1-C10)*(1/$D3+1/$H3))^(1/2))</f>
        <v>-0.58707919435908362</v>
      </c>
      <c r="F9">
        <f>(1-_xlfn.NORM.DIST(ABS(E9),0,1,TRUE))*2</f>
        <v>0.55715052014277067</v>
      </c>
      <c r="J9" t="s">
        <v>10</v>
      </c>
      <c r="K9">
        <f>SUM(M$1:N1)/SUM(M$1:P1)</f>
        <v>3.7229956836942393E-4</v>
      </c>
      <c r="M9">
        <f>(K8-K9)/((K10*(1-K10)*(1/$D3+1/$H3))^(1/2))</f>
        <v>-0.27280460082380326</v>
      </c>
      <c r="N9">
        <f>(1-_xlfn.NORM.DIST(ABS(M9),0,1,TRUE))*2</f>
        <v>0.78500342272322343</v>
      </c>
    </row>
    <row r="10" spans="1:16" x14ac:dyDescent="0.25">
      <c r="B10" t="s">
        <v>11</v>
      </c>
      <c r="C10">
        <f>(SUM(A$1:B1)+SUM(E$1:F1))/SUM(A$1:H1)</f>
        <v>1.1825978981045878E-4</v>
      </c>
      <c r="J10" t="s">
        <v>11</v>
      </c>
      <c r="K10">
        <f>(SUM(I$1:J1)+SUM(M$1:N1))/SUM(I$1:P1)</f>
        <v>3.7177840792772861E-4</v>
      </c>
    </row>
    <row r="12" spans="1:16" x14ac:dyDescent="0.25">
      <c r="A12" t="s">
        <v>12</v>
      </c>
      <c r="F12" t="s">
        <v>13</v>
      </c>
    </row>
    <row r="14" spans="1:16" x14ac:dyDescent="0.25">
      <c r="B14" t="s">
        <v>7</v>
      </c>
      <c r="C14">
        <f>(SUM(A$1:A1)+SUM(C$1:C1))/SUM(A$1:D1)</f>
        <v>1.2391214018440264E-4</v>
      </c>
      <c r="F14" t="s">
        <v>7</v>
      </c>
      <c r="G14">
        <f>(SUM(E$1:E1)+SUM(G$1:G1))/SUM(E$1:H1)</f>
        <v>3.9847534028472159E-4</v>
      </c>
    </row>
    <row r="15" spans="1:16" x14ac:dyDescent="0.25">
      <c r="B15" t="s">
        <v>10</v>
      </c>
      <c r="C15">
        <f>(SUM(I$1:I1)+SUM(K$1:K1))/SUM(I$1:L1)</f>
        <v>1.2298619921956809E-4</v>
      </c>
      <c r="F15" t="s">
        <v>10</v>
      </c>
      <c r="G15">
        <f>(SUM(M$1:M1)+SUM(O$1:O1))/SUM(M$1:P1)</f>
        <v>3.9935125459414545E-4</v>
      </c>
    </row>
    <row r="16" spans="1:16" x14ac:dyDescent="0.25">
      <c r="B16" t="s">
        <v>11</v>
      </c>
      <c r="C16">
        <f>(SUM(A$1:A1)+SUM(C$1:C1)+SUM(I$1:I1)+SUM(K$1:K1))/(SUM(A$1:D1)+SUM(I$1:L1))</f>
        <v>1.2344923830965473E-4</v>
      </c>
      <c r="F16" t="s">
        <v>11</v>
      </c>
      <c r="G16">
        <f>(SUM(E$1:E1)+SUM(G$1:G1)+SUM(M$1:M1)+SUM(O$1:O1))/(SUM(E$1:H1)+SUM(M$1:P1))</f>
        <v>3.9891325872560261E-4</v>
      </c>
    </row>
    <row r="17" spans="1:13" x14ac:dyDescent="0.25">
      <c r="B17" t="s">
        <v>8</v>
      </c>
      <c r="C17">
        <f>(C14-C15)/((C16*(1-C16)*(1/$D3+1/$H3))^(1/2))</f>
        <v>0.42050064219040018</v>
      </c>
      <c r="F17" t="s">
        <v>8</v>
      </c>
      <c r="G17">
        <f>(G14-G15)/((G16*(1-G16)*(1/$D3+1/$H3))^(1/2))</f>
        <v>-0.22131445982939107</v>
      </c>
    </row>
    <row r="18" spans="1:13" x14ac:dyDescent="0.25">
      <c r="B18" t="s">
        <v>9</v>
      </c>
      <c r="C18">
        <f>(1-_xlfn.NORM.DIST(ABS(C17),0,1,TRUE))*2</f>
        <v>0.67411976035125631</v>
      </c>
      <c r="F18" t="s">
        <v>9</v>
      </c>
      <c r="G18">
        <f>(1-_xlfn.NORM.DIST(ABS(G17),0,1,TRUE))*2</f>
        <v>0.82484759180623035</v>
      </c>
    </row>
    <row r="20" spans="1:13" x14ac:dyDescent="0.25">
      <c r="A20" t="s">
        <v>14</v>
      </c>
    </row>
    <row r="22" spans="1:13" x14ac:dyDescent="0.25">
      <c r="A22" t="s">
        <v>15</v>
      </c>
      <c r="I22" t="s">
        <v>16</v>
      </c>
    </row>
    <row r="24" spans="1:13" x14ac:dyDescent="0.25">
      <c r="B24" t="s">
        <v>7</v>
      </c>
      <c r="C24">
        <f>SUM(A$1:D1)/SUM(A$1:H1)</f>
        <v>0.50001743649367281</v>
      </c>
      <c r="J24" t="s">
        <v>7</v>
      </c>
      <c r="K24">
        <f>SUM(A$1:D1)/(SUM(A$1:D1)+SUM(I$1:L1))</f>
        <v>0.50007409507946599</v>
      </c>
    </row>
    <row r="25" spans="1:13" x14ac:dyDescent="0.25">
      <c r="B25" t="s">
        <v>10</v>
      </c>
      <c r="C25">
        <f>SUM(I$1:L1)/SUM(I$1:P1)</f>
        <v>0.49998753960815745</v>
      </c>
      <c r="J25" t="s">
        <v>10</v>
      </c>
      <c r="K25">
        <f>SUM(E$1:H1)/(SUM(E$1:H1)+SUM(M$1:P1))</f>
        <v>0.50004419819436818</v>
      </c>
    </row>
    <row r="26" spans="1:13" x14ac:dyDescent="0.25">
      <c r="B26" t="s">
        <v>11</v>
      </c>
      <c r="C26">
        <f>(SUM(A$1:D1)+SUM(I$1:L1))/SUM(A$1:P1)</f>
        <v>0.50000248981921758</v>
      </c>
      <c r="J26" t="s">
        <v>11</v>
      </c>
      <c r="K26">
        <f>(SUM(A$1:D1)+SUM(E$1:H1))/SUM(A$1:P1)</f>
        <v>0.50005914671135498</v>
      </c>
    </row>
    <row r="27" spans="1:13" x14ac:dyDescent="0.25">
      <c r="B27" t="s">
        <v>8</v>
      </c>
      <c r="C27">
        <f>(C24-C25)/((C26*(1-C26)*(1/SUM(A$1:H1)+1/SUM(I$1:P1)))^(1/2))</f>
        <v>0.42662472139391594</v>
      </c>
      <c r="J27" t="s">
        <v>8</v>
      </c>
      <c r="K27">
        <f>(K24-K25)/((K26*(1-K26)*(1/(SUM(A$1:D1)+SUM(I$1:L1))+1/(SUM(E$1:H1)+SUM(M$1:P1))))^(1/2))</f>
        <v>0.42662472139478458</v>
      </c>
    </row>
    <row r="28" spans="1:13" x14ac:dyDescent="0.25">
      <c r="B28" t="s">
        <v>9</v>
      </c>
      <c r="C28">
        <f>(1-_xlfn.NORM.DIST(ABS(C27),0,1,TRUE))*2</f>
        <v>0.66965268860635252</v>
      </c>
      <c r="J28" t="s">
        <v>9</v>
      </c>
      <c r="K28">
        <f>(1-_xlfn.NORM.DIST(ABS(K27),0,1,TRUE))*2</f>
        <v>0.66965268860571991</v>
      </c>
    </row>
    <row r="30" spans="1:13" x14ac:dyDescent="0.25">
      <c r="A30" t="s">
        <v>17</v>
      </c>
    </row>
    <row r="31" spans="1:13" x14ac:dyDescent="0.25">
      <c r="D31" t="s">
        <v>18</v>
      </c>
      <c r="E31" t="s">
        <v>8</v>
      </c>
      <c r="F31" t="s">
        <v>9</v>
      </c>
      <c r="K31" t="s">
        <v>19</v>
      </c>
      <c r="L31" t="s">
        <v>8</v>
      </c>
      <c r="M31" t="s">
        <v>9</v>
      </c>
    </row>
    <row r="32" spans="1:13" x14ac:dyDescent="0.25">
      <c r="B32" t="s">
        <v>20</v>
      </c>
      <c r="D32">
        <f>SUM(A$1:H1)/SUM(A$1:P1)</f>
        <v>0.50005914671135498</v>
      </c>
      <c r="E32">
        <f>(D32-1/2)*2*((SUM(A$1:P1))^(1/2))</f>
        <v>1.6880319802183035</v>
      </c>
      <c r="F32">
        <f>(1-_xlfn.NORM.DIST(ABS(E32),0,1,TRUE))*2</f>
        <v>9.1405090153980018E-2</v>
      </c>
      <c r="I32" t="s">
        <v>21</v>
      </c>
      <c r="K32">
        <f>(SUM(A$1:D1)+SUM(I$1:L1))/SUM(A$1:P1)</f>
        <v>0.50000248981921758</v>
      </c>
      <c r="L32">
        <f>(K32-1/2)*2*((SUM(A$1:P1))^(1/2))</f>
        <v>7.1058802221604739E-2</v>
      </c>
      <c r="M32">
        <f>(1-_xlfn.NORM.DIST(ABS(L32),0,1,TRUE))*2</f>
        <v>0.94335095631157762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workbookViewId="0">
      <selection activeCell="P3" sqref="A3:P3"/>
    </sheetView>
  </sheetViews>
  <sheetFormatPr defaultRowHeight="15" x14ac:dyDescent="0.25"/>
  <sheetData>
    <row r="1" spans="1:16" x14ac:dyDescent="0.25">
      <c r="A1">
        <v>6651</v>
      </c>
      <c r="B1">
        <v>3330</v>
      </c>
      <c r="C1">
        <v>3809</v>
      </c>
      <c r="D1">
        <v>50901318</v>
      </c>
      <c r="E1">
        <v>6980</v>
      </c>
      <c r="F1">
        <v>3094</v>
      </c>
      <c r="G1">
        <v>26732</v>
      </c>
      <c r="H1">
        <v>50874751</v>
      </c>
      <c r="I1">
        <v>7169</v>
      </c>
      <c r="J1">
        <v>24544</v>
      </c>
      <c r="K1">
        <v>3311</v>
      </c>
      <c r="L1">
        <v>50864996</v>
      </c>
      <c r="M1">
        <v>70</v>
      </c>
      <c r="N1">
        <v>31579</v>
      </c>
      <c r="O1">
        <v>33757</v>
      </c>
      <c r="P1">
        <v>50837151</v>
      </c>
    </row>
    <row r="3" spans="1:16" x14ac:dyDescent="0.25">
      <c r="C3" t="s">
        <v>0</v>
      </c>
      <c r="D3">
        <f>SUM(A$1:D1)</f>
        <v>50915108</v>
      </c>
      <c r="G3" t="s">
        <v>1</v>
      </c>
      <c r="H3">
        <f>SUM(E$1:H1)</f>
        <v>50911557</v>
      </c>
      <c r="K3" t="s">
        <v>2</v>
      </c>
      <c r="L3">
        <f>SUM(I$1:L1)</f>
        <v>50900020</v>
      </c>
      <c r="O3" t="s">
        <v>3</v>
      </c>
      <c r="P3">
        <f>SUM(M$1:P1)</f>
        <v>50902557</v>
      </c>
    </row>
    <row r="5" spans="1:16" x14ac:dyDescent="0.25">
      <c r="A5" t="s">
        <v>4</v>
      </c>
    </row>
    <row r="6" spans="1:16" x14ac:dyDescent="0.25">
      <c r="A6" t="s">
        <v>5</v>
      </c>
      <c r="I6" t="s">
        <v>6</v>
      </c>
    </row>
    <row r="8" spans="1:16" x14ac:dyDescent="0.25">
      <c r="B8" t="s">
        <v>7</v>
      </c>
      <c r="C8">
        <f>SUM(A$1:B1)/SUM(A$1:D1)</f>
        <v>1.9603218753851999E-4</v>
      </c>
      <c r="E8" t="s">
        <v>8</v>
      </c>
      <c r="F8" t="s">
        <v>9</v>
      </c>
      <c r="J8" t="s">
        <v>7</v>
      </c>
      <c r="K8">
        <f>SUM(I$1:J1)/SUM(I$1:L1)</f>
        <v>6.2304494182909953E-4</v>
      </c>
      <c r="M8" t="s">
        <v>8</v>
      </c>
      <c r="N8" t="s">
        <v>9</v>
      </c>
    </row>
    <row r="9" spans="1:16" x14ac:dyDescent="0.25">
      <c r="B9" t="s">
        <v>10</v>
      </c>
      <c r="C9">
        <f>SUM(E$1:F1)/SUM(E$1:H1)</f>
        <v>1.9787255769844163E-4</v>
      </c>
      <c r="E9">
        <f>(C8-C9)/((C10*(1-C10)*(1/$D3+1/$H3))^(1/2))</f>
        <v>-0.66171068244274123</v>
      </c>
      <c r="F9">
        <f>(1-_xlfn.NORM.DIST(ABS(E9),0,1,TRUE))*2</f>
        <v>0.50815665722458014</v>
      </c>
      <c r="J9" t="s">
        <v>10</v>
      </c>
      <c r="K9">
        <f>SUM(M$1:N1)/SUM(M$1:P1)</f>
        <v>6.217565848411112E-4</v>
      </c>
      <c r="M9">
        <f>(K8-K9)/((K10*(1-K10)*(1/$D3+1/$H3))^(1/2))</f>
        <v>0.26063763335368795</v>
      </c>
      <c r="N9">
        <f>(1-_xlfn.NORM.DIST(ABS(M9),0,1,TRUE))*2</f>
        <v>0.79437196523775788</v>
      </c>
    </row>
    <row r="10" spans="1:16" x14ac:dyDescent="0.25">
      <c r="B10" t="s">
        <v>11</v>
      </c>
      <c r="C10">
        <f>(SUM(A$1:B1)+SUM(E$1:F1))/SUM(A$1:H1)</f>
        <v>1.9695234052887817E-4</v>
      </c>
      <c r="J10" t="s">
        <v>11</v>
      </c>
      <c r="K10">
        <f>(SUM(I$1:J1)+SUM(M$1:N1))/SUM(I$1:P1)</f>
        <v>6.2240074728167247E-4</v>
      </c>
    </row>
    <row r="12" spans="1:16" x14ac:dyDescent="0.25">
      <c r="A12" t="s">
        <v>12</v>
      </c>
      <c r="F12" t="s">
        <v>13</v>
      </c>
    </row>
    <row r="14" spans="1:16" x14ac:dyDescent="0.25">
      <c r="B14" t="s">
        <v>7</v>
      </c>
      <c r="C14">
        <f>(SUM(A$1:A1)+SUM(C$1:C1))/SUM(A$1:D1)</f>
        <v>2.0544000417322105E-4</v>
      </c>
      <c r="F14" t="s">
        <v>7</v>
      </c>
      <c r="G14">
        <f>(SUM(E$1:E1)+SUM(G$1:G1))/SUM(E$1:H1)</f>
        <v>6.6216792387630181E-4</v>
      </c>
    </row>
    <row r="15" spans="1:16" x14ac:dyDescent="0.25">
      <c r="B15" t="s">
        <v>10</v>
      </c>
      <c r="C15">
        <f>(SUM(I$1:I1)+SUM(K$1:K1))/SUM(I$1:L1)</f>
        <v>2.0589382872541112E-4</v>
      </c>
      <c r="F15" t="s">
        <v>10</v>
      </c>
      <c r="G15">
        <f>(SUM(M$1:M1)+SUM(O$1:O1))/SUM(M$1:P1)</f>
        <v>6.6454421926191254E-4</v>
      </c>
    </row>
    <row r="16" spans="1:16" x14ac:dyDescent="0.25">
      <c r="B16" t="s">
        <v>11</v>
      </c>
      <c r="C16">
        <f>(SUM(A$1:A1)+SUM(C$1:C1)+SUM(I$1:I1)+SUM(K$1:K1))/(SUM(A$1:D1)+SUM(I$1:L1))</f>
        <v>2.0566688282314981E-4</v>
      </c>
      <c r="F16" t="s">
        <v>11</v>
      </c>
      <c r="G16">
        <f>(SUM(E$1:E1)+SUM(G$1:G1)+SUM(M$1:M1)+SUM(O$1:O1))/(SUM(E$1:H1)+SUM(M$1:P1))</f>
        <v>6.6335596654114185E-4</v>
      </c>
    </row>
    <row r="17" spans="1:13" x14ac:dyDescent="0.25">
      <c r="B17" t="s">
        <v>8</v>
      </c>
      <c r="C17">
        <f>(C14-C15)/((C16*(1-C16)*(1/$D3+1/$H3))^(1/2))</f>
        <v>-0.15968026093145304</v>
      </c>
      <c r="F17" t="s">
        <v>8</v>
      </c>
      <c r="G17">
        <f>(G14-G15)/((G16*(1-G16)*(1/$D3+1/$H3))^(1/2))</f>
        <v>-0.46566324758463767</v>
      </c>
    </row>
    <row r="18" spans="1:13" x14ac:dyDescent="0.25">
      <c r="B18" t="s">
        <v>9</v>
      </c>
      <c r="C18">
        <f>(1-_xlfn.NORM.DIST(ABS(C17),0,1,TRUE))*2</f>
        <v>0.87313295086168807</v>
      </c>
      <c r="F18" t="s">
        <v>9</v>
      </c>
      <c r="G18">
        <f>(1-_xlfn.NORM.DIST(ABS(G17),0,1,TRUE))*2</f>
        <v>0.64145656325766476</v>
      </c>
    </row>
    <row r="20" spans="1:13" x14ac:dyDescent="0.25">
      <c r="A20" t="s">
        <v>14</v>
      </c>
    </row>
    <row r="22" spans="1:13" x14ac:dyDescent="0.25">
      <c r="A22" t="s">
        <v>15</v>
      </c>
      <c r="I22" t="s">
        <v>16</v>
      </c>
    </row>
    <row r="24" spans="1:13" x14ac:dyDescent="0.25">
      <c r="B24" t="s">
        <v>7</v>
      </c>
      <c r="C24">
        <f>SUM(A$1:D1)/SUM(A$1:H1)</f>
        <v>0.50001743649367281</v>
      </c>
      <c r="J24" t="s">
        <v>7</v>
      </c>
      <c r="K24">
        <f>SUM(A$1:D1)/(SUM(A$1:D1)+SUM(I$1:L1))</f>
        <v>0.50007409507946599</v>
      </c>
    </row>
    <row r="25" spans="1:13" x14ac:dyDescent="0.25">
      <c r="B25" t="s">
        <v>10</v>
      </c>
      <c r="C25">
        <f>SUM(I$1:L1)/SUM(I$1:P1)</f>
        <v>0.49998753960815745</v>
      </c>
      <c r="J25" t="s">
        <v>10</v>
      </c>
      <c r="K25">
        <f>SUM(E$1:H1)/(SUM(E$1:H1)+SUM(M$1:P1))</f>
        <v>0.50004419819436818</v>
      </c>
    </row>
    <row r="26" spans="1:13" x14ac:dyDescent="0.25">
      <c r="B26" t="s">
        <v>11</v>
      </c>
      <c r="C26">
        <f>(SUM(A$1:D1)+SUM(I$1:L1))/SUM(A$1:P1)</f>
        <v>0.50000248981921758</v>
      </c>
      <c r="J26" t="s">
        <v>11</v>
      </c>
      <c r="K26">
        <f>(SUM(A$1:D1)+SUM(E$1:H1))/SUM(A$1:P1)</f>
        <v>0.50005914671135498</v>
      </c>
    </row>
    <row r="27" spans="1:13" x14ac:dyDescent="0.25">
      <c r="B27" t="s">
        <v>8</v>
      </c>
      <c r="C27">
        <f>(C24-C25)/((C26*(1-C26)*(1/SUM(A$1:H1)+1/SUM(I$1:P1)))^(1/2))</f>
        <v>0.42662472139391594</v>
      </c>
      <c r="J27" t="s">
        <v>8</v>
      </c>
      <c r="K27">
        <f>(K24-K25)/((K26*(1-K26)*(1/(SUM(A$1:D1)+SUM(I$1:L1))+1/(SUM(E$1:H1)+SUM(M$1:P1))))^(1/2))</f>
        <v>0.42662472139478458</v>
      </c>
    </row>
    <row r="28" spans="1:13" x14ac:dyDescent="0.25">
      <c r="B28" t="s">
        <v>9</v>
      </c>
      <c r="C28">
        <f>(1-_xlfn.NORM.DIST(ABS(C27),0,1,TRUE))*2</f>
        <v>0.66965268860635252</v>
      </c>
      <c r="J28" t="s">
        <v>9</v>
      </c>
      <c r="K28">
        <f>(1-_xlfn.NORM.DIST(ABS(K27),0,1,TRUE))*2</f>
        <v>0.66965268860571991</v>
      </c>
    </row>
    <row r="30" spans="1:13" x14ac:dyDescent="0.25">
      <c r="A30" t="s">
        <v>17</v>
      </c>
    </row>
    <row r="31" spans="1:13" x14ac:dyDescent="0.25">
      <c r="D31" t="s">
        <v>18</v>
      </c>
      <c r="E31" t="s">
        <v>8</v>
      </c>
      <c r="F31" t="s">
        <v>9</v>
      </c>
      <c r="K31" t="s">
        <v>19</v>
      </c>
      <c r="L31" t="s">
        <v>8</v>
      </c>
      <c r="M31" t="s">
        <v>9</v>
      </c>
    </row>
    <row r="32" spans="1:13" x14ac:dyDescent="0.25">
      <c r="B32" t="s">
        <v>20</v>
      </c>
      <c r="D32">
        <f>SUM(A$1:H1)/SUM(A$1:P1)</f>
        <v>0.50005914671135498</v>
      </c>
      <c r="E32">
        <f>(D32-1/2)*2*((SUM(A$1:P1))^(1/2))</f>
        <v>1.6880319802183035</v>
      </c>
      <c r="F32">
        <f>(1-_xlfn.NORM.DIST(ABS(E32),0,1,TRUE))*2</f>
        <v>9.1405090153980018E-2</v>
      </c>
      <c r="I32" t="s">
        <v>21</v>
      </c>
      <c r="K32">
        <f>(SUM(A$1:D1)+SUM(I$1:L1))/SUM(A$1:P1)</f>
        <v>0.50000248981921758</v>
      </c>
      <c r="L32">
        <f>(K32-1/2)*2*((SUM(A$1:P1))^(1/2))</f>
        <v>7.1058802221604739E-2</v>
      </c>
      <c r="M32">
        <f>(1-_xlfn.NORM.DIST(ABS(L32),0,1,TRUE))*2</f>
        <v>0.94335095631157762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workbookViewId="0">
      <selection activeCell="P13" sqref="P13"/>
    </sheetView>
  </sheetViews>
  <sheetFormatPr defaultRowHeight="15" x14ac:dyDescent="0.25"/>
  <sheetData>
    <row r="1" spans="1:16" x14ac:dyDescent="0.25">
      <c r="A1">
        <v>9330</v>
      </c>
      <c r="B1">
        <v>4685</v>
      </c>
      <c r="C1">
        <v>5365</v>
      </c>
      <c r="D1">
        <v>50895728</v>
      </c>
      <c r="E1">
        <v>9754</v>
      </c>
      <c r="F1">
        <v>4342</v>
      </c>
      <c r="G1">
        <v>37339</v>
      </c>
      <c r="H1">
        <v>50860122</v>
      </c>
      <c r="I1">
        <v>10057</v>
      </c>
      <c r="J1">
        <v>34381</v>
      </c>
      <c r="K1">
        <v>4586</v>
      </c>
      <c r="L1">
        <v>50850996</v>
      </c>
      <c r="M1">
        <v>113</v>
      </c>
      <c r="N1">
        <v>44319</v>
      </c>
      <c r="O1">
        <v>47264</v>
      </c>
      <c r="P1">
        <v>50810861</v>
      </c>
    </row>
    <row r="3" spans="1:16" x14ac:dyDescent="0.25">
      <c r="C3" t="s">
        <v>0</v>
      </c>
      <c r="D3">
        <f>SUM(A$1:D1)</f>
        <v>50915108</v>
      </c>
      <c r="G3" t="s">
        <v>1</v>
      </c>
      <c r="H3">
        <f>SUM(E$1:H1)</f>
        <v>50911557</v>
      </c>
      <c r="K3" t="s">
        <v>2</v>
      </c>
      <c r="L3">
        <f>SUM(I$1:L1)</f>
        <v>50900020</v>
      </c>
      <c r="O3" t="s">
        <v>3</v>
      </c>
      <c r="P3">
        <f>SUM(M$1:P1)</f>
        <v>50902557</v>
      </c>
    </row>
    <row r="5" spans="1:16" x14ac:dyDescent="0.25">
      <c r="A5" t="s">
        <v>4</v>
      </c>
    </row>
    <row r="6" spans="1:16" x14ac:dyDescent="0.25">
      <c r="A6" t="s">
        <v>5</v>
      </c>
      <c r="I6" t="s">
        <v>6</v>
      </c>
    </row>
    <row r="8" spans="1:16" x14ac:dyDescent="0.25">
      <c r="B8" t="s">
        <v>7</v>
      </c>
      <c r="C8">
        <f>SUM(A$1:B1)/SUM(A$1:D1)</f>
        <v>2.7526210884203567E-4</v>
      </c>
      <c r="E8" t="s">
        <v>8</v>
      </c>
      <c r="F8" t="s">
        <v>9</v>
      </c>
      <c r="J8" t="s">
        <v>7</v>
      </c>
      <c r="K8">
        <f>SUM(I$1:J1)/SUM(I$1:L1)</f>
        <v>8.7304484359731094E-4</v>
      </c>
      <c r="M8" t="s">
        <v>8</v>
      </c>
      <c r="N8" t="s">
        <v>9</v>
      </c>
    </row>
    <row r="9" spans="1:16" x14ac:dyDescent="0.25">
      <c r="B9" t="s">
        <v>10</v>
      </c>
      <c r="C9">
        <f>SUM(E$1:F1)/SUM(E$1:H1)</f>
        <v>2.7687230229474225E-4</v>
      </c>
      <c r="E9">
        <f>(C8-C9)/((C10*(1-C10)*(1/$D3+1/$H3))^(1/2))</f>
        <v>-0.48902536792890611</v>
      </c>
      <c r="F9">
        <f>(1-_xlfn.NORM.DIST(ABS(E9),0,1,TRUE))*2</f>
        <v>0.62482373720229911</v>
      </c>
      <c r="J9" t="s">
        <v>10</v>
      </c>
      <c r="K9">
        <f>SUM(M$1:N1)/SUM(M$1:P1)</f>
        <v>8.72883458487164E-4</v>
      </c>
      <c r="M9">
        <f>(K8-K9)/((K10*(1-K10)*(1/$D3+1/$H3))^(1/2))</f>
        <v>2.7571199925372797E-2</v>
      </c>
      <c r="N9">
        <f>(1-_xlfn.NORM.DIST(ABS(M9),0,1,TRUE))*2</f>
        <v>0.9780041520598961</v>
      </c>
    </row>
    <row r="10" spans="1:16" x14ac:dyDescent="0.25">
      <c r="B10" t="s">
        <v>11</v>
      </c>
      <c r="C10">
        <f>(SUM(A$1:B1)+SUM(E$1:F1))/SUM(A$1:H1)</f>
        <v>2.7606717749226097E-4</v>
      </c>
      <c r="J10" t="s">
        <v>11</v>
      </c>
      <c r="K10">
        <f>(SUM(I$1:J1)+SUM(M$1:N1))/SUM(I$1:P1)</f>
        <v>8.7296414903131577E-4</v>
      </c>
    </row>
    <row r="12" spans="1:16" x14ac:dyDescent="0.25">
      <c r="A12" t="s">
        <v>12</v>
      </c>
      <c r="F12" t="s">
        <v>13</v>
      </c>
    </row>
    <row r="14" spans="1:16" x14ac:dyDescent="0.25">
      <c r="B14" t="s">
        <v>7</v>
      </c>
      <c r="C14">
        <f>(SUM(A$1:A1)+SUM(C$1:C1))/SUM(A$1:D1)</f>
        <v>2.886176731668722E-4</v>
      </c>
      <c r="F14" t="s">
        <v>7</v>
      </c>
      <c r="G14">
        <f>(SUM(E$1:E1)+SUM(G$1:G1))/SUM(E$1:H1)</f>
        <v>9.2499626361849431E-4</v>
      </c>
    </row>
    <row r="15" spans="1:16" x14ac:dyDescent="0.25">
      <c r="B15" t="s">
        <v>10</v>
      </c>
      <c r="C15">
        <f>(SUM(I$1:I1)+SUM(K$1:K1))/SUM(I$1:L1)</f>
        <v>2.8768161584219416E-4</v>
      </c>
      <c r="F15" t="s">
        <v>10</v>
      </c>
      <c r="G15">
        <f>(SUM(M$1:M1)+SUM(O$1:O1))/SUM(M$1:P1)</f>
        <v>9.3073909823429893E-4</v>
      </c>
    </row>
    <row r="16" spans="1:16" x14ac:dyDescent="0.25">
      <c r="B16" t="s">
        <v>11</v>
      </c>
      <c r="C16">
        <f>(SUM(A$1:A1)+SUM(C$1:C1)+SUM(I$1:I1)+SUM(K$1:K1))/(SUM(A$1:D1)+SUM(I$1:L1))</f>
        <v>2.8814971386177505E-4</v>
      </c>
      <c r="F16" t="s">
        <v>11</v>
      </c>
      <c r="G16">
        <f>(SUM(E$1:E1)+SUM(G$1:G1)+SUM(M$1:M1)+SUM(O$1:O1))/(SUM(E$1:H1)+SUM(M$1:P1))</f>
        <v>9.2786742710347604E-4</v>
      </c>
    </row>
    <row r="17" spans="1:13" x14ac:dyDescent="0.25">
      <c r="B17" t="s">
        <v>8</v>
      </c>
      <c r="C17">
        <f>(C14-C15)/((C16*(1-C16)*(1/$D3+1/$H3))^(1/2))</f>
        <v>0.27826378853941353</v>
      </c>
      <c r="F17" t="s">
        <v>8</v>
      </c>
      <c r="G17">
        <f>(G14-G15)/((G16*(1-G16)*(1/$D3+1/$H3))^(1/2))</f>
        <v>-0.95166848242781577</v>
      </c>
    </row>
    <row r="18" spans="1:13" x14ac:dyDescent="0.25">
      <c r="B18" t="s">
        <v>9</v>
      </c>
      <c r="C18">
        <f>(1-_xlfn.NORM.DIST(ABS(C17),0,1,TRUE))*2</f>
        <v>0.78080987133222379</v>
      </c>
      <c r="F18" t="s">
        <v>9</v>
      </c>
      <c r="G18">
        <f>(1-_xlfn.NORM.DIST(ABS(G17),0,1,TRUE))*2</f>
        <v>0.34126513840752959</v>
      </c>
    </row>
    <row r="20" spans="1:13" x14ac:dyDescent="0.25">
      <c r="A20" t="s">
        <v>14</v>
      </c>
    </row>
    <row r="22" spans="1:13" x14ac:dyDescent="0.25">
      <c r="A22" t="s">
        <v>15</v>
      </c>
      <c r="I22" t="s">
        <v>16</v>
      </c>
    </row>
    <row r="24" spans="1:13" x14ac:dyDescent="0.25">
      <c r="B24" t="s">
        <v>7</v>
      </c>
      <c r="C24">
        <f>SUM(A$1:D1)/SUM(A$1:H1)</f>
        <v>0.50001743649367281</v>
      </c>
      <c r="J24" t="s">
        <v>7</v>
      </c>
      <c r="K24">
        <f>SUM(A$1:D1)/(SUM(A$1:D1)+SUM(I$1:L1))</f>
        <v>0.50007409507946599</v>
      </c>
    </row>
    <row r="25" spans="1:13" x14ac:dyDescent="0.25">
      <c r="B25" t="s">
        <v>10</v>
      </c>
      <c r="C25">
        <f>SUM(I$1:L1)/SUM(I$1:P1)</f>
        <v>0.49998753960815745</v>
      </c>
      <c r="J25" t="s">
        <v>10</v>
      </c>
      <c r="K25">
        <f>SUM(E$1:H1)/(SUM(E$1:H1)+SUM(M$1:P1))</f>
        <v>0.50004419819436818</v>
      </c>
    </row>
    <row r="26" spans="1:13" x14ac:dyDescent="0.25">
      <c r="B26" t="s">
        <v>11</v>
      </c>
      <c r="C26">
        <f>(SUM(A$1:D1)+SUM(I$1:L1))/SUM(A$1:P1)</f>
        <v>0.50000248981921758</v>
      </c>
      <c r="J26" t="s">
        <v>11</v>
      </c>
      <c r="K26">
        <f>(SUM(A$1:D1)+SUM(E$1:H1))/SUM(A$1:P1)</f>
        <v>0.50005914671135498</v>
      </c>
    </row>
    <row r="27" spans="1:13" x14ac:dyDescent="0.25">
      <c r="B27" t="s">
        <v>8</v>
      </c>
      <c r="C27">
        <f>(C24-C25)/((C26*(1-C26)*(1/SUM(A$1:H1)+1/SUM(I$1:P1)))^(1/2))</f>
        <v>0.42662472139391594</v>
      </c>
      <c r="J27" t="s">
        <v>8</v>
      </c>
      <c r="K27">
        <f>(K24-K25)/((K26*(1-K26)*(1/(SUM(A$1:D1)+SUM(I$1:L1))+1/(SUM(E$1:H1)+SUM(M$1:P1))))^(1/2))</f>
        <v>0.42662472139478458</v>
      </c>
    </row>
    <row r="28" spans="1:13" x14ac:dyDescent="0.25">
      <c r="B28" t="s">
        <v>9</v>
      </c>
      <c r="C28">
        <f>(1-_xlfn.NORM.DIST(ABS(C27),0,1,TRUE))*2</f>
        <v>0.66965268860635252</v>
      </c>
      <c r="J28" t="s">
        <v>9</v>
      </c>
      <c r="K28">
        <f>(1-_xlfn.NORM.DIST(ABS(K27),0,1,TRUE))*2</f>
        <v>0.66965268860571991</v>
      </c>
    </row>
    <row r="30" spans="1:13" x14ac:dyDescent="0.25">
      <c r="A30" t="s">
        <v>17</v>
      </c>
    </row>
    <row r="31" spans="1:13" x14ac:dyDescent="0.25">
      <c r="D31" t="s">
        <v>18</v>
      </c>
      <c r="E31" t="s">
        <v>8</v>
      </c>
      <c r="F31" t="s">
        <v>9</v>
      </c>
      <c r="K31" t="s">
        <v>19</v>
      </c>
      <c r="L31" t="s">
        <v>8</v>
      </c>
      <c r="M31" t="s">
        <v>9</v>
      </c>
    </row>
    <row r="32" spans="1:13" x14ac:dyDescent="0.25">
      <c r="B32" t="s">
        <v>20</v>
      </c>
      <c r="D32">
        <f>SUM(A$1:H1)/SUM(A$1:P1)</f>
        <v>0.50005914671135498</v>
      </c>
      <c r="E32">
        <f>(D32-1/2)*2*((SUM(A$1:P1))^(1/2))</f>
        <v>1.6880319802183035</v>
      </c>
      <c r="F32">
        <f>(1-_xlfn.NORM.DIST(ABS(E32),0,1,TRUE))*2</f>
        <v>9.1405090153980018E-2</v>
      </c>
      <c r="I32" t="s">
        <v>21</v>
      </c>
      <c r="K32">
        <f>(SUM(A$1:D1)+SUM(I$1:L1))/SUM(A$1:P1)</f>
        <v>0.50000248981921758</v>
      </c>
      <c r="L32">
        <f>(K32-1/2)*2*((SUM(A$1:P1))^(1/2))</f>
        <v>7.1058802221604739E-2</v>
      </c>
      <c r="M32">
        <f>(1-_xlfn.NORM.DIST(ABS(L32),0,1,TRUE))*2</f>
        <v>0.94335095631157762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selection activeCell="P3" sqref="A3:P3"/>
    </sheetView>
  </sheetViews>
  <sheetFormatPr defaultRowHeight="15" x14ac:dyDescent="0.25"/>
  <sheetData>
    <row r="1" spans="1:16" x14ac:dyDescent="0.25">
      <c r="A1">
        <v>11996</v>
      </c>
      <c r="B1">
        <v>6035</v>
      </c>
      <c r="C1">
        <v>6839</v>
      </c>
      <c r="D1">
        <v>50890238</v>
      </c>
      <c r="E1">
        <v>12741</v>
      </c>
      <c r="F1">
        <v>5585</v>
      </c>
      <c r="G1">
        <v>47854</v>
      </c>
      <c r="H1">
        <v>50845377</v>
      </c>
      <c r="I1">
        <v>12988</v>
      </c>
      <c r="J1">
        <v>44411</v>
      </c>
      <c r="K1">
        <v>5859</v>
      </c>
      <c r="L1">
        <v>50836762</v>
      </c>
      <c r="M1">
        <v>172</v>
      </c>
      <c r="N1">
        <v>56921</v>
      </c>
      <c r="O1">
        <v>60766</v>
      </c>
      <c r="P1">
        <v>50784698</v>
      </c>
    </row>
    <row r="3" spans="1:16" x14ac:dyDescent="0.25">
      <c r="C3" t="s">
        <v>0</v>
      </c>
      <c r="D3">
        <f>SUM(A$1:D1)</f>
        <v>50915108</v>
      </c>
      <c r="G3" t="s">
        <v>1</v>
      </c>
      <c r="H3">
        <f>SUM(E$1:H1)</f>
        <v>50911557</v>
      </c>
      <c r="K3" t="s">
        <v>2</v>
      </c>
      <c r="L3">
        <f>SUM(I$1:L1)</f>
        <v>50900020</v>
      </c>
      <c r="O3" t="s">
        <v>3</v>
      </c>
      <c r="P3">
        <f>SUM(M$1:P1)</f>
        <v>50902557</v>
      </c>
    </row>
    <row r="5" spans="1:16" x14ac:dyDescent="0.25">
      <c r="A5" t="s">
        <v>4</v>
      </c>
    </row>
    <row r="6" spans="1:16" x14ac:dyDescent="0.25">
      <c r="A6" t="s">
        <v>5</v>
      </c>
      <c r="I6" t="s">
        <v>6</v>
      </c>
    </row>
    <row r="8" spans="1:16" x14ac:dyDescent="0.25">
      <c r="B8" t="s">
        <v>7</v>
      </c>
      <c r="C8">
        <f>SUM(A$1:B1)/SUM(A$1:D1)</f>
        <v>3.5413850050165855E-4</v>
      </c>
      <c r="E8" t="s">
        <v>8</v>
      </c>
      <c r="F8" t="s">
        <v>9</v>
      </c>
      <c r="J8" t="s">
        <v>7</v>
      </c>
      <c r="K8">
        <f>SUM(I$1:J1)/SUM(I$1:L1)</f>
        <v>1.1276812857833848E-3</v>
      </c>
      <c r="M8" t="s">
        <v>8</v>
      </c>
      <c r="N8" t="s">
        <v>9</v>
      </c>
    </row>
    <row r="9" spans="1:16" x14ac:dyDescent="0.25">
      <c r="B9" t="s">
        <v>10</v>
      </c>
      <c r="C9">
        <f>SUM(E$1:F1)/SUM(E$1:H1)</f>
        <v>3.5995756326996636E-4</v>
      </c>
      <c r="E9">
        <f>(C8-C9)/((C10*(1-C10)*(1/$D3+1/$H3))^(1/2))</f>
        <v>-1.5540611072764441</v>
      </c>
      <c r="F9">
        <f>(1-_xlfn.NORM.DIST(ABS(E9),0,1,TRUE))*2</f>
        <v>0.12016984124417363</v>
      </c>
      <c r="J9" t="s">
        <v>10</v>
      </c>
      <c r="K9">
        <f>SUM(M$1:N1)/SUM(M$1:P1)</f>
        <v>1.1216135959535392E-3</v>
      </c>
      <c r="M9">
        <f>(K8-K9)/((K10*(1-K10)*(1/$D3+1/$H3))^(1/2))</f>
        <v>0.9133985184187231</v>
      </c>
      <c r="N9">
        <f>(1-_xlfn.NORM.DIST(ABS(M9),0,1,TRUE))*2</f>
        <v>0.36103298451079868</v>
      </c>
    </row>
    <row r="10" spans="1:16" x14ac:dyDescent="0.25">
      <c r="B10" t="s">
        <v>11</v>
      </c>
      <c r="C10">
        <f>(SUM(A$1:B1)+SUM(E$1:F1))/SUM(A$1:H1)</f>
        <v>3.5704793042176132E-4</v>
      </c>
      <c r="J10" t="s">
        <v>11</v>
      </c>
      <c r="K10">
        <f>(SUM(I$1:J1)+SUM(M$1:N1))/SUM(I$1:P1)</f>
        <v>1.1246473652626692E-3</v>
      </c>
    </row>
    <row r="12" spans="1:16" x14ac:dyDescent="0.25">
      <c r="A12" t="s">
        <v>12</v>
      </c>
      <c r="F12" t="s">
        <v>13</v>
      </c>
    </row>
    <row r="14" spans="1:16" x14ac:dyDescent="0.25">
      <c r="B14" t="s">
        <v>7</v>
      </c>
      <c r="C14">
        <f>(SUM(A$1:A1)+SUM(C$1:C1))/SUM(A$1:D1)</f>
        <v>3.6992949126220059E-4</v>
      </c>
      <c r="F14" t="s">
        <v>7</v>
      </c>
      <c r="G14">
        <f>(SUM(E$1:E1)+SUM(G$1:G1))/SUM(E$1:H1)</f>
        <v>1.190201273946503E-3</v>
      </c>
    </row>
    <row r="15" spans="1:16" x14ac:dyDescent="0.25">
      <c r="B15" t="s">
        <v>10</v>
      </c>
      <c r="C15">
        <f>(SUM(I$1:I1)+SUM(K$1:K1))/SUM(I$1:L1)</f>
        <v>3.7027490362479231E-4</v>
      </c>
      <c r="F15" t="s">
        <v>10</v>
      </c>
      <c r="G15">
        <f>(SUM(M$1:M1)+SUM(O$1:O1))/SUM(M$1:P1)</f>
        <v>1.1971500763704268E-3</v>
      </c>
    </row>
    <row r="16" spans="1:16" x14ac:dyDescent="0.25">
      <c r="B16" t="s">
        <v>11</v>
      </c>
      <c r="C16">
        <f>(SUM(A$1:A1)+SUM(C$1:C1)+SUM(I$1:I1)+SUM(K$1:K1))/(SUM(A$1:D1)+SUM(I$1:L1))</f>
        <v>3.7010217185014E-4</v>
      </c>
      <c r="F16" t="s">
        <v>11</v>
      </c>
      <c r="G16">
        <f>(SUM(E$1:E1)+SUM(G$1:G1)+SUM(M$1:M1)+SUM(O$1:O1))/(SUM(E$1:H1)+SUM(M$1:P1))</f>
        <v>1.1936753680339446E-3</v>
      </c>
    </row>
    <row r="17" spans="1:13" x14ac:dyDescent="0.25">
      <c r="B17" t="s">
        <v>8</v>
      </c>
      <c r="C17">
        <f>(C14-C15)/((C16*(1-C16)*(1/$D3+1/$H3))^(1/2))</f>
        <v>-9.0606260400830155E-2</v>
      </c>
      <c r="F17" t="s">
        <v>8</v>
      </c>
      <c r="G17">
        <f>(G14-G15)/((G16*(1-G16)*(1/$D3+1/$H3))^(1/2))</f>
        <v>-1.0153761771094116</v>
      </c>
    </row>
    <row r="18" spans="1:13" x14ac:dyDescent="0.25">
      <c r="B18" t="s">
        <v>9</v>
      </c>
      <c r="C18">
        <f>(1-_xlfn.NORM.DIST(ABS(C17),0,1,TRUE))*2</f>
        <v>0.92780545731655084</v>
      </c>
      <c r="F18" t="s">
        <v>9</v>
      </c>
      <c r="G18">
        <f>(1-_xlfn.NORM.DIST(ABS(G17),0,1,TRUE))*2</f>
        <v>0.3099265445541719</v>
      </c>
    </row>
    <row r="20" spans="1:13" x14ac:dyDescent="0.25">
      <c r="A20" t="s">
        <v>14</v>
      </c>
    </row>
    <row r="22" spans="1:13" x14ac:dyDescent="0.25">
      <c r="A22" t="s">
        <v>15</v>
      </c>
      <c r="I22" t="s">
        <v>16</v>
      </c>
    </row>
    <row r="24" spans="1:13" x14ac:dyDescent="0.25">
      <c r="B24" t="s">
        <v>7</v>
      </c>
      <c r="C24">
        <f>SUM(A$1:D1)/SUM(A$1:H1)</f>
        <v>0.50001743649367281</v>
      </c>
      <c r="J24" t="s">
        <v>7</v>
      </c>
      <c r="K24">
        <f>SUM(A$1:D1)/(SUM(A$1:D1)+SUM(I$1:L1))</f>
        <v>0.50007409507946599</v>
      </c>
    </row>
    <row r="25" spans="1:13" x14ac:dyDescent="0.25">
      <c r="B25" t="s">
        <v>10</v>
      </c>
      <c r="C25">
        <f>SUM(I$1:L1)/SUM(I$1:P1)</f>
        <v>0.49998753960815745</v>
      </c>
      <c r="J25" t="s">
        <v>10</v>
      </c>
      <c r="K25">
        <f>SUM(E$1:H1)/(SUM(E$1:H1)+SUM(M$1:P1))</f>
        <v>0.50004419819436818</v>
      </c>
    </row>
    <row r="26" spans="1:13" x14ac:dyDescent="0.25">
      <c r="B26" t="s">
        <v>11</v>
      </c>
      <c r="C26">
        <f>(SUM(A$1:D1)+SUM(I$1:L1))/SUM(A$1:P1)</f>
        <v>0.50000248981921758</v>
      </c>
      <c r="J26" t="s">
        <v>11</v>
      </c>
      <c r="K26">
        <f>(SUM(A$1:D1)+SUM(E$1:H1))/SUM(A$1:P1)</f>
        <v>0.50005914671135498</v>
      </c>
    </row>
    <row r="27" spans="1:13" x14ac:dyDescent="0.25">
      <c r="B27" t="s">
        <v>8</v>
      </c>
      <c r="C27">
        <f>(C24-C25)/((C26*(1-C26)*(1/SUM(A$1:H1)+1/SUM(I$1:P1)))^(1/2))</f>
        <v>0.42662472139391594</v>
      </c>
      <c r="J27" t="s">
        <v>8</v>
      </c>
      <c r="K27">
        <f>(K24-K25)/((K26*(1-K26)*(1/(SUM(A$1:D1)+SUM(I$1:L1))+1/(SUM(E$1:H1)+SUM(M$1:P1))))^(1/2))</f>
        <v>0.42662472139478458</v>
      </c>
    </row>
    <row r="28" spans="1:13" x14ac:dyDescent="0.25">
      <c r="B28" t="s">
        <v>9</v>
      </c>
      <c r="C28">
        <f>(1-_xlfn.NORM.DIST(ABS(C27),0,1,TRUE))*2</f>
        <v>0.66965268860635252</v>
      </c>
      <c r="J28" t="s">
        <v>9</v>
      </c>
      <c r="K28">
        <f>(1-_xlfn.NORM.DIST(ABS(K27),0,1,TRUE))*2</f>
        <v>0.66965268860571991</v>
      </c>
    </row>
    <row r="30" spans="1:13" x14ac:dyDescent="0.25">
      <c r="A30" t="s">
        <v>17</v>
      </c>
    </row>
    <row r="31" spans="1:13" x14ac:dyDescent="0.25">
      <c r="D31" t="s">
        <v>18</v>
      </c>
      <c r="E31" t="s">
        <v>8</v>
      </c>
      <c r="F31" t="s">
        <v>9</v>
      </c>
      <c r="K31" t="s">
        <v>19</v>
      </c>
      <c r="L31" t="s">
        <v>8</v>
      </c>
      <c r="M31" t="s">
        <v>9</v>
      </c>
    </row>
    <row r="32" spans="1:13" x14ac:dyDescent="0.25">
      <c r="B32" t="s">
        <v>20</v>
      </c>
      <c r="D32">
        <f>SUM(A$1:H1)/SUM(A$1:P1)</f>
        <v>0.50005914671135498</v>
      </c>
      <c r="E32">
        <f>(D32-1/2)*2*((SUM(A$1:P1))^(1/2))</f>
        <v>1.6880319802183035</v>
      </c>
      <c r="F32">
        <f>(1-_xlfn.NORM.DIST(ABS(E32),0,1,TRUE))*2</f>
        <v>9.1405090153980018E-2</v>
      </c>
      <c r="I32" t="s">
        <v>21</v>
      </c>
      <c r="K32">
        <f>(SUM(A$1:D1)+SUM(I$1:L1))/SUM(A$1:P1)</f>
        <v>0.50000248981921758</v>
      </c>
      <c r="L32">
        <f>(K32-1/2)*2*((SUM(A$1:P1))^(1/2))</f>
        <v>7.1058802221604739E-2</v>
      </c>
      <c r="M32">
        <f>(1-_xlfn.NORM.DIST(ABS(L32),0,1,TRUE))*2</f>
        <v>0.94335095631157762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5</vt:lpstr>
      <vt:lpstr>456</vt:lpstr>
      <vt:lpstr>34567</vt:lpstr>
      <vt:lpstr>2345678</vt:lpstr>
      <vt:lpstr>123456789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2015-12-09T19:29:28Z</dcterms:modified>
</cp:coreProperties>
</file>