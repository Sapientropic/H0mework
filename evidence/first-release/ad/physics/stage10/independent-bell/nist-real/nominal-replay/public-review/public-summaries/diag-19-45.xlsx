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5" sheetId="1" r:id="rId1"/>
    <sheet name="456" sheetId="2" r:id="rId2"/>
    <sheet name="34567" sheetId="3" r:id="rId3"/>
    <sheet name="2345678" sheetId="4" r:id="rId4"/>
    <sheet name="123456789" sheetId="5" r:id="rId5"/>
  </sheets>
  <calcPr calcId="152511"/>
</workbook>
</file>

<file path=xl/calcChain.xml><?xml version="1.0" encoding="utf-8"?>
<calcChain xmlns="http://schemas.openxmlformats.org/spreadsheetml/2006/main">
  <c r="K32" i="5" l="1"/>
  <c r="L32" i="5" s="1"/>
  <c r="M32" i="5" s="1"/>
  <c r="D32" i="5"/>
  <c r="E32" i="5" s="1"/>
  <c r="F32" i="5" s="1"/>
  <c r="K26" i="5"/>
  <c r="K27" i="5" s="1"/>
  <c r="K28" i="5" s="1"/>
  <c r="C26" i="5"/>
  <c r="K25" i="5"/>
  <c r="C25" i="5"/>
  <c r="K24" i="5"/>
  <c r="C24" i="5"/>
  <c r="G16" i="5"/>
  <c r="C16" i="5"/>
  <c r="G15" i="5"/>
  <c r="C15" i="5"/>
  <c r="G14" i="5"/>
  <c r="C14" i="5"/>
  <c r="K10" i="5"/>
  <c r="C10" i="5"/>
  <c r="K9" i="5"/>
  <c r="C9" i="5"/>
  <c r="E9" i="5" s="1"/>
  <c r="F9" i="5" s="1"/>
  <c r="K8" i="5"/>
  <c r="C8" i="5"/>
  <c r="P3" i="5"/>
  <c r="L3" i="5"/>
  <c r="H3" i="5"/>
  <c r="D3" i="5"/>
  <c r="K32" i="4"/>
  <c r="L32" i="4" s="1"/>
  <c r="M32" i="4" s="1"/>
  <c r="D32" i="4"/>
  <c r="E32" i="4" s="1"/>
  <c r="F32" i="4" s="1"/>
  <c r="K26" i="4"/>
  <c r="C26" i="4"/>
  <c r="K25" i="4"/>
  <c r="C25" i="4"/>
  <c r="K24" i="4"/>
  <c r="C24" i="4"/>
  <c r="G16" i="4"/>
  <c r="C16" i="4"/>
  <c r="G15" i="4"/>
  <c r="C15" i="4"/>
  <c r="G14" i="4"/>
  <c r="C14" i="4"/>
  <c r="K10" i="4"/>
  <c r="C10" i="4"/>
  <c r="K9" i="4"/>
  <c r="C9" i="4"/>
  <c r="K8" i="4"/>
  <c r="C8" i="4"/>
  <c r="P3" i="4"/>
  <c r="L3" i="4"/>
  <c r="H3" i="4"/>
  <c r="D3" i="4"/>
  <c r="K32" i="3"/>
  <c r="L32" i="3" s="1"/>
  <c r="M32" i="3" s="1"/>
  <c r="D32" i="3"/>
  <c r="E32" i="3" s="1"/>
  <c r="F32" i="3" s="1"/>
  <c r="K26" i="3"/>
  <c r="C26" i="3"/>
  <c r="K25" i="3"/>
  <c r="C25" i="3"/>
  <c r="K24" i="3"/>
  <c r="C24" i="3"/>
  <c r="G16" i="3"/>
  <c r="C16" i="3"/>
  <c r="G15" i="3"/>
  <c r="C15" i="3"/>
  <c r="G14" i="3"/>
  <c r="C14" i="3"/>
  <c r="K10" i="3"/>
  <c r="C10" i="3"/>
  <c r="K9" i="3"/>
  <c r="C9" i="3"/>
  <c r="K8" i="3"/>
  <c r="C8" i="3"/>
  <c r="P3" i="3"/>
  <c r="L3" i="3"/>
  <c r="H3" i="3"/>
  <c r="D3" i="3"/>
  <c r="K32" i="2"/>
  <c r="L32" i="2" s="1"/>
  <c r="M32" i="2" s="1"/>
  <c r="D32" i="2"/>
  <c r="E32" i="2" s="1"/>
  <c r="F32" i="2" s="1"/>
  <c r="C27" i="2"/>
  <c r="C28" i="2" s="1"/>
  <c r="K26" i="2"/>
  <c r="C26" i="2"/>
  <c r="K25" i="2"/>
  <c r="C25" i="2"/>
  <c r="K24" i="2"/>
  <c r="K27" i="2" s="1"/>
  <c r="K28" i="2" s="1"/>
  <c r="C24" i="2"/>
  <c r="G16" i="2"/>
  <c r="C16" i="2"/>
  <c r="G15" i="2"/>
  <c r="C15" i="2"/>
  <c r="G14" i="2"/>
  <c r="C14" i="2"/>
  <c r="K10" i="2"/>
  <c r="C10" i="2"/>
  <c r="K9" i="2"/>
  <c r="C9" i="2"/>
  <c r="E9" i="2" s="1"/>
  <c r="F9" i="2" s="1"/>
  <c r="K8" i="2"/>
  <c r="C8" i="2"/>
  <c r="P3" i="2"/>
  <c r="L3" i="2"/>
  <c r="H3" i="2"/>
  <c r="D3" i="2"/>
  <c r="K32" i="1"/>
  <c r="L32" i="1" s="1"/>
  <c r="M32" i="1" s="1"/>
  <c r="D32" i="1"/>
  <c r="E32" i="1" s="1"/>
  <c r="F32" i="1" s="1"/>
  <c r="K26" i="1"/>
  <c r="C26" i="1"/>
  <c r="K25" i="1"/>
  <c r="C25" i="1"/>
  <c r="K24" i="1"/>
  <c r="C24" i="1"/>
  <c r="G16" i="1"/>
  <c r="C16" i="1"/>
  <c r="G15" i="1"/>
  <c r="C15" i="1"/>
  <c r="C17" i="1" s="1"/>
  <c r="C18" i="1" s="1"/>
  <c r="G14" i="1"/>
  <c r="C14" i="1"/>
  <c r="K10" i="1"/>
  <c r="C10" i="1"/>
  <c r="K9" i="1"/>
  <c r="C9" i="1"/>
  <c r="K8" i="1"/>
  <c r="C8" i="1"/>
  <c r="E9" i="1" s="1"/>
  <c r="F9" i="1" s="1"/>
  <c r="P3" i="1"/>
  <c r="L3" i="1"/>
  <c r="H3" i="1"/>
  <c r="D3" i="1"/>
  <c r="C27" i="5" l="1"/>
  <c r="C28" i="5" s="1"/>
  <c r="G17" i="5"/>
  <c r="G18" i="5" s="1"/>
  <c r="K27" i="4"/>
  <c r="K28" i="4" s="1"/>
  <c r="C17" i="3"/>
  <c r="C18" i="3" s="1"/>
  <c r="G17" i="3"/>
  <c r="G18" i="3" s="1"/>
  <c r="E9" i="3"/>
  <c r="F9" i="3" s="1"/>
  <c r="C17" i="5"/>
  <c r="C18" i="5" s="1"/>
  <c r="M9" i="5"/>
  <c r="N9" i="5" s="1"/>
  <c r="E9" i="4"/>
  <c r="F9" i="4" s="1"/>
  <c r="M9" i="4"/>
  <c r="N9" i="4" s="1"/>
  <c r="G17" i="4"/>
  <c r="G18" i="4" s="1"/>
  <c r="C17" i="4"/>
  <c r="C18" i="4" s="1"/>
  <c r="C27" i="4"/>
  <c r="C28" i="4" s="1"/>
  <c r="M9" i="3"/>
  <c r="N9" i="3" s="1"/>
  <c r="C27" i="3"/>
  <c r="C28" i="3" s="1"/>
  <c r="K27" i="3"/>
  <c r="K28" i="3" s="1"/>
  <c r="M9" i="2"/>
  <c r="N9" i="2" s="1"/>
  <c r="C17" i="2"/>
  <c r="C18" i="2" s="1"/>
  <c r="G17" i="2"/>
  <c r="G18" i="2" s="1"/>
  <c r="M9" i="1"/>
  <c r="N9" i="1" s="1"/>
  <c r="G17" i="1"/>
  <c r="G18" i="1" s="1"/>
  <c r="K27" i="1"/>
  <c r="K28" i="1" s="1"/>
  <c r="C27" i="1"/>
  <c r="C28" i="1" s="1"/>
</calcChain>
</file>

<file path=xl/sharedStrings.xml><?xml version="1.0" encoding="utf-8"?>
<sst xmlns="http://schemas.openxmlformats.org/spreadsheetml/2006/main" count="255" uniqueCount="22">
  <si>
    <t>ab</t>
  </si>
  <si>
    <t>ab'</t>
  </si>
  <si>
    <t>a'b</t>
  </si>
  <si>
    <t>a'b'</t>
  </si>
  <si>
    <t>NO SIGNALING TESTS USING IID ASSUMPTION</t>
  </si>
  <si>
    <t>Bob effect on Alice success prob when Alice=a</t>
  </si>
  <si>
    <t>Bob effect on Alice success prob when Alice=a'</t>
  </si>
  <si>
    <t>p1-hat</t>
  </si>
  <si>
    <t>z</t>
  </si>
  <si>
    <t>p-value</t>
  </si>
  <si>
    <t>p2-hat</t>
  </si>
  <si>
    <t>ppool</t>
  </si>
  <si>
    <t>Alice effect on Bob success prob when Bob=b</t>
  </si>
  <si>
    <t>Alice effect on Bob success prob when Bob=b'</t>
  </si>
  <si>
    <t>INDEPENDENCE OF SETTINGS USING IID ASSUMPTIONS</t>
  </si>
  <si>
    <t>Does Alice's choice of setting influence Bob's setting probabilities?</t>
  </si>
  <si>
    <t>Does Bob's choice of setting influence Alice's setting probabilities?</t>
  </si>
  <si>
    <t>TESTING WHETHER INDIVIDUAL SETTING PROBABILTIES = 1/2</t>
  </si>
  <si>
    <t>P(a)</t>
  </si>
  <si>
    <t>P(b)</t>
  </si>
  <si>
    <t>Alice = 1/2 ?</t>
  </si>
  <si>
    <t>Bob=1/2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</si>
</sst>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A4" workbookViewId="0">
      <selection activeCell="P11" sqref="P11"/>
    </sheetView>
  </sheetViews>
  <sheetFormatPr defaultRowHeight="15" x14ac:dyDescent="0.25"/>
  <sheetData>
    <row r="1" spans="1:16" x14ac:dyDescent="0.25">
      <c r="A1">
        <v>1378</v>
      </c>
      <c r="B1">
        <v>678</v>
      </c>
      <c r="C1">
        <v>698</v>
      </c>
      <c r="D1">
        <v>45646692</v>
      </c>
      <c r="E1">
        <v>1363</v>
      </c>
      <c r="F1">
        <v>638</v>
      </c>
      <c r="G1">
        <v>4998</v>
      </c>
      <c r="H1">
        <v>45649133</v>
      </c>
      <c r="I1">
        <v>1436</v>
      </c>
      <c r="J1">
        <v>4529</v>
      </c>
      <c r="K1">
        <v>678</v>
      </c>
      <c r="L1">
        <v>45610281</v>
      </c>
      <c r="M1">
        <v>19</v>
      </c>
      <c r="N1">
        <v>5870</v>
      </c>
      <c r="O1">
        <v>6500</v>
      </c>
      <c r="P1">
        <v>45625985</v>
      </c>
    </row>
    <row r="3" spans="1:16" x14ac:dyDescent="0.25">
      <c r="C3" t="s">
        <v>0</v>
      </c>
      <c r="D3">
        <f>SUM(A$1:D1)</f>
        <v>45649446</v>
      </c>
      <c r="G3" t="s">
        <v>1</v>
      </c>
      <c r="H3">
        <f>SUM(E$1:H1)</f>
        <v>45656132</v>
      </c>
      <c r="K3" t="s">
        <v>2</v>
      </c>
      <c r="L3">
        <f>SUM(I$1:L1)</f>
        <v>45616924</v>
      </c>
      <c r="O3" t="s">
        <v>3</v>
      </c>
      <c r="P3">
        <f>SUM(M$1:P1)</f>
        <v>45638374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4.5038881742398366E-5</v>
      </c>
      <c r="E8" t="s">
        <v>8</v>
      </c>
      <c r="F8" t="s">
        <v>9</v>
      </c>
      <c r="J8" t="s">
        <v>7</v>
      </c>
      <c r="K8">
        <f>SUM(I$1:J1)/SUM(I$1:L1)</f>
        <v>1.3076287213052769E-4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4.3827628674281909E-5</v>
      </c>
      <c r="E9">
        <f>(C8-C9)/((C10*(1-C10)*(1/$D3+1/$H3))^(1/2))</f>
        <v>0.86817914316301426</v>
      </c>
      <c r="F9">
        <f>(1-_xlfn.NORM.DIST(ABS(E9),0,1,TRUE))*2</f>
        <v>0.38529627022760171</v>
      </c>
      <c r="J9" t="s">
        <v>10</v>
      </c>
      <c r="K9">
        <f>SUM(M$1:N1)/SUM(M$1:P1)</f>
        <v>1.2903614839564618E-4</v>
      </c>
      <c r="M9">
        <f>(K8-K9)/((K10*(1-K10)*(1/$D3+1/$H3))^(1/2))</f>
        <v>0.72387955107331348</v>
      </c>
      <c r="N9">
        <f>(1-_xlfn.NORM.DIST(ABS(M9),0,1,TRUE))*2</f>
        <v>0.46913968513727067</v>
      </c>
    </row>
    <row r="10" spans="1:16" x14ac:dyDescent="0.25">
      <c r="B10" t="s">
        <v>11</v>
      </c>
      <c r="C10">
        <f>(SUM(A$1:B1)+SUM(E$1:F1))/SUM(A$1:H1)</f>
        <v>4.443321086034853E-5</v>
      </c>
      <c r="J10" t="s">
        <v>11</v>
      </c>
      <c r="K10">
        <f>(SUM(I$1:J1)+SUM(M$1:N1))/SUM(I$1:P1)</f>
        <v>1.298993073256963E-4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4.5477003160125975E-5</v>
      </c>
      <c r="F14" t="s">
        <v>7</v>
      </c>
      <c r="G14">
        <f>(SUM(E$1:E1)+SUM(G$1:G1))/SUM(E$1:H1)</f>
        <v>1.3932411094308208E-4</v>
      </c>
    </row>
    <row r="15" spans="1:16" x14ac:dyDescent="0.25">
      <c r="B15" t="s">
        <v>10</v>
      </c>
      <c r="C15">
        <f>(SUM(I$1:I1)+SUM(K$1:K1))/SUM(I$1:L1)</f>
        <v>4.6342449569813171E-5</v>
      </c>
      <c r="F15" t="s">
        <v>10</v>
      </c>
      <c r="G15">
        <f>(SUM(M$1:M1)+SUM(O$1:O1))/SUM(M$1:P1)</f>
        <v>1.4284032117358082E-4</v>
      </c>
    </row>
    <row r="16" spans="1:16" x14ac:dyDescent="0.25">
      <c r="B16" t="s">
        <v>11</v>
      </c>
      <c r="C16">
        <f>(SUM(A$1:A1)+SUM(C$1:C1)+SUM(I$1:I1)+SUM(K$1:K1))/(SUM(A$1:D1)+SUM(I$1:L1))</f>
        <v>4.5909572167710845E-5</v>
      </c>
      <c r="F16" t="s">
        <v>11</v>
      </c>
      <c r="G16">
        <f>(SUM(E$1:E1)+SUM(G$1:G1)+SUM(M$1:M1)+SUM(O$1:O1))/(SUM(E$1:H1)+SUM(M$1:P1))</f>
        <v>1.4108187408341964E-4</v>
      </c>
    </row>
    <row r="17" spans="1:13" x14ac:dyDescent="0.25">
      <c r="B17" t="s">
        <v>8</v>
      </c>
      <c r="C17">
        <f>(C14-C15)/((C16*(1-C16)*(1/$D3+1/$H3))^(1/2))</f>
        <v>-0.61026320475750795</v>
      </c>
      <c r="F17" t="s">
        <v>8</v>
      </c>
      <c r="G17">
        <f>(G14-G15)/((G16*(1-G16)*(1/$D3+1/$H3))^(1/2))</f>
        <v>-1.4144529933012644</v>
      </c>
    </row>
    <row r="18" spans="1:13" x14ac:dyDescent="0.25">
      <c r="B18" t="s">
        <v>9</v>
      </c>
      <c r="C18">
        <f>(1-_xlfn.NORM.DIST(ABS(C17),0,1,TRUE))*2</f>
        <v>0.54168746700484904</v>
      </c>
      <c r="F18" t="s">
        <v>9</v>
      </c>
      <c r="G18">
        <f>(1-_xlfn.NORM.DIST(ABS(G17),0,1,TRUE))*2</f>
        <v>0.15722893990675391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0.4999633866837796</v>
      </c>
      <c r="J24" t="s">
        <v>7</v>
      </c>
      <c r="K24">
        <f>SUM(A$1:D1)/(SUM(A$1:D1)+SUM(I$1:L1))</f>
        <v>0.50017817077637683</v>
      </c>
    </row>
    <row r="25" spans="1:13" x14ac:dyDescent="0.25">
      <c r="B25" t="s">
        <v>10</v>
      </c>
      <c r="C25">
        <f>SUM(I$1:L1)/SUM(I$1:P1)</f>
        <v>0.49988247257709906</v>
      </c>
      <c r="J25" t="s">
        <v>10</v>
      </c>
      <c r="K25">
        <f>SUM(E$1:H1)/(SUM(E$1:H1)+SUM(M$1:P1))</f>
        <v>0.50009725667391203</v>
      </c>
    </row>
    <row r="26" spans="1:13" x14ac:dyDescent="0.25">
      <c r="B26" t="s">
        <v>11</v>
      </c>
      <c r="C26">
        <f>(SUM(A$1:D1)+SUM(I$1:L1))/SUM(A$1:P1)</f>
        <v>0.49992294077291788</v>
      </c>
      <c r="J26" t="s">
        <v>11</v>
      </c>
      <c r="K26">
        <f>(SUM(A$1:D1)+SUM(E$1:H1))/SUM(A$1:P1)</f>
        <v>0.50013770748996622</v>
      </c>
    </row>
    <row r="27" spans="1:13" x14ac:dyDescent="0.25">
      <c r="B27" t="s">
        <v>8</v>
      </c>
      <c r="C27">
        <f>(C24-C25)/((C26*(1-C26)*(1/SUM(A$1:H1)+1/SUM(I$1:P1)))^(1/2))</f>
        <v>1.0932716537865033</v>
      </c>
      <c r="J27" t="s">
        <v>8</v>
      </c>
      <c r="K27">
        <f>(K24-K25)/((K26*(1-K26)*(1/(SUM(A$1:D1)+SUM(I$1:L1))+1/(SUM(E$1:H1)+SUM(M$1:P1))))^(1/2))</f>
        <v>1.0932716537859641</v>
      </c>
    </row>
    <row r="28" spans="1:13" x14ac:dyDescent="0.25">
      <c r="B28" t="s">
        <v>9</v>
      </c>
      <c r="C28">
        <f>(1-_xlfn.NORM.DIST(ABS(C27),0,1,TRUE))*2</f>
        <v>0.27427454474412771</v>
      </c>
      <c r="J28" t="s">
        <v>9</v>
      </c>
      <c r="K28">
        <f>(1-_xlfn.NORM.DIST(ABS(K27),0,1,TRUE))*2</f>
        <v>0.27427454474436419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0.50013770748996622</v>
      </c>
      <c r="E32">
        <f>(D32-1/2)*2*((SUM(A$1:P1))^(1/2))</f>
        <v>3.7212719856253722</v>
      </c>
      <c r="F32">
        <f>(1-_xlfn.NORM.DIST(ABS(E32),0,1,TRUE))*2</f>
        <v>1.9822179961281883E-4</v>
      </c>
      <c r="I32" t="s">
        <v>21</v>
      </c>
      <c r="K32">
        <f>(SUM(A$1:D1)+SUM(I$1:L1))/SUM(A$1:P1)</f>
        <v>0.49992294077291788</v>
      </c>
      <c r="L32">
        <f>(K32-1/2)*2*((SUM(A$1:P1))^(1/2))</f>
        <v>-2.0823728836026434</v>
      </c>
      <c r="M32">
        <f>(1-_xlfn.NORM.DIST(ABS(L32),0,1,TRUE))*2</f>
        <v>3.7308423305591143E-2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A4" workbookViewId="0">
      <selection sqref="A1:P1"/>
    </sheetView>
  </sheetViews>
  <sheetFormatPr defaultRowHeight="15" x14ac:dyDescent="0.25"/>
  <sheetData>
    <row r="1" spans="1:16" x14ac:dyDescent="0.25">
      <c r="A1">
        <v>4132</v>
      </c>
      <c r="B1">
        <v>2010</v>
      </c>
      <c r="C1">
        <v>2005</v>
      </c>
      <c r="D1">
        <v>45641299</v>
      </c>
      <c r="E1">
        <v>4204</v>
      </c>
      <c r="F1">
        <v>1940</v>
      </c>
      <c r="G1">
        <v>15085</v>
      </c>
      <c r="H1">
        <v>45634903</v>
      </c>
      <c r="I1">
        <v>4275</v>
      </c>
      <c r="J1">
        <v>13438</v>
      </c>
      <c r="K1">
        <v>2008</v>
      </c>
      <c r="L1">
        <v>45597203</v>
      </c>
      <c r="M1">
        <v>73</v>
      </c>
      <c r="N1">
        <v>17659</v>
      </c>
      <c r="O1">
        <v>19373</v>
      </c>
      <c r="P1">
        <v>45601269</v>
      </c>
    </row>
    <row r="3" spans="1:16" x14ac:dyDescent="0.25">
      <c r="C3" t="s">
        <v>0</v>
      </c>
      <c r="D3">
        <f>SUM(A$1:D1)</f>
        <v>45649446</v>
      </c>
      <c r="G3" t="s">
        <v>1</v>
      </c>
      <c r="H3">
        <f>SUM(E$1:H1)</f>
        <v>45656132</v>
      </c>
      <c r="K3" t="s">
        <v>2</v>
      </c>
      <c r="L3">
        <f>SUM(I$1:L1)</f>
        <v>45616924</v>
      </c>
      <c r="O3" t="s">
        <v>3</v>
      </c>
      <c r="P3">
        <f>SUM(M$1:P1)</f>
        <v>45638374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1.345470873841492E-4</v>
      </c>
      <c r="E8" t="s">
        <v>8</v>
      </c>
      <c r="F8" t="s">
        <v>9</v>
      </c>
      <c r="J8" t="s">
        <v>7</v>
      </c>
      <c r="K8">
        <f>SUM(I$1:J1)/SUM(I$1:L1)</f>
        <v>3.8829886907762565E-4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1.3457118969254777E-4</v>
      </c>
      <c r="E9">
        <f>(C8-C9)/((C10*(1-C10)*(1/$D3+1/$H3))^(1/2))</f>
        <v>-9.927729100334369E-3</v>
      </c>
      <c r="F9">
        <f>(1-_xlfn.NORM.DIST(ABS(E9),0,1,TRUE))*2</f>
        <v>0.99207894834344157</v>
      </c>
      <c r="J9" t="s">
        <v>10</v>
      </c>
      <c r="K9">
        <f>SUM(M$1:N1)/SUM(M$1:P1)</f>
        <v>3.8853268523545559E-4</v>
      </c>
      <c r="M9">
        <f>(K8-K9)/((K10*(1-K10)*(1/$D3+1/$H3))^(1/2))</f>
        <v>-5.6692954602103988E-2</v>
      </c>
      <c r="N9">
        <f>(1-_xlfn.NORM.DIST(ABS(M9),0,1,TRUE))*2</f>
        <v>0.95478978640379086</v>
      </c>
    </row>
    <row r="10" spans="1:16" x14ac:dyDescent="0.25">
      <c r="B10" t="s">
        <v>11</v>
      </c>
      <c r="C10">
        <f>(SUM(A$1:B1)+SUM(E$1:F1))/SUM(A$1:H1)</f>
        <v>1.3455913942081392E-4</v>
      </c>
      <c r="J10" t="s">
        <v>11</v>
      </c>
      <c r="K10">
        <f>(SUM(I$1:J1)+SUM(M$1:N1))/SUM(I$1:P1)</f>
        <v>3.8841580463635107E-4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1.344375570297173E-4</v>
      </c>
      <c r="F14" t="s">
        <v>7</v>
      </c>
      <c r="G14">
        <f>(SUM(E$1:E1)+SUM(G$1:G1))/SUM(E$1:H1)</f>
        <v>4.2248432258781799E-4</v>
      </c>
    </row>
    <row r="15" spans="1:16" x14ac:dyDescent="0.25">
      <c r="B15" t="s">
        <v>10</v>
      </c>
      <c r="C15">
        <f>(SUM(I$1:I1)+SUM(K$1:K1))/SUM(I$1:L1)</f>
        <v>1.3773396908568409E-4</v>
      </c>
      <c r="F15" t="s">
        <v>10</v>
      </c>
      <c r="G15">
        <f>(SUM(M$1:M1)+SUM(O$1:O1))/SUM(M$1:P1)</f>
        <v>4.2608879974558251E-4</v>
      </c>
    </row>
    <row r="16" spans="1:16" x14ac:dyDescent="0.25">
      <c r="B16" t="s">
        <v>11</v>
      </c>
      <c r="C16">
        <f>(SUM(A$1:A1)+SUM(C$1:C1)+SUM(I$1:I1)+SUM(K$1:K1))/(SUM(A$1:D1)+SUM(I$1:L1))</f>
        <v>1.360851757334054E-4</v>
      </c>
      <c r="F16" t="s">
        <v>11</v>
      </c>
      <c r="G16">
        <f>(SUM(E$1:E1)+SUM(G$1:G1)+SUM(M$1:M1)+SUM(O$1:O1))/(SUM(E$1:H1)+SUM(M$1:P1))</f>
        <v>4.242862106072407E-4</v>
      </c>
    </row>
    <row r="17" spans="1:13" x14ac:dyDescent="0.25">
      <c r="B17" t="s">
        <v>8</v>
      </c>
      <c r="C17">
        <f>(C14-C15)/((C16*(1-C16)*(1/$D3+1/$H3))^(1/2))</f>
        <v>-1.3501570712762425</v>
      </c>
      <c r="F17" t="s">
        <v>8</v>
      </c>
      <c r="G17">
        <f>(G14-G15)/((G16*(1-G16)*(1/$D3+1/$H3))^(1/2))</f>
        <v>-0.83622592836442411</v>
      </c>
    </row>
    <row r="18" spans="1:13" x14ac:dyDescent="0.25">
      <c r="B18" t="s">
        <v>9</v>
      </c>
      <c r="C18">
        <f>(1-_xlfn.NORM.DIST(ABS(C17),0,1,TRUE))*2</f>
        <v>0.17696560498859304</v>
      </c>
      <c r="F18" t="s">
        <v>9</v>
      </c>
      <c r="G18">
        <f>(1-_xlfn.NORM.DIST(ABS(G17),0,1,TRUE))*2</f>
        <v>0.40302781449448544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0.4999633866837796</v>
      </c>
      <c r="J24" t="s">
        <v>7</v>
      </c>
      <c r="K24">
        <f>SUM(A$1:D1)/(SUM(A$1:D1)+SUM(I$1:L1))</f>
        <v>0.50017817077637683</v>
      </c>
    </row>
    <row r="25" spans="1:13" x14ac:dyDescent="0.25">
      <c r="B25" t="s">
        <v>10</v>
      </c>
      <c r="C25">
        <f>SUM(I$1:L1)/SUM(I$1:P1)</f>
        <v>0.49988247257709906</v>
      </c>
      <c r="J25" t="s">
        <v>10</v>
      </c>
      <c r="K25">
        <f>SUM(E$1:H1)/(SUM(E$1:H1)+SUM(M$1:P1))</f>
        <v>0.50009725667391203</v>
      </c>
    </row>
    <row r="26" spans="1:13" x14ac:dyDescent="0.25">
      <c r="B26" t="s">
        <v>11</v>
      </c>
      <c r="C26">
        <f>(SUM(A$1:D1)+SUM(I$1:L1))/SUM(A$1:P1)</f>
        <v>0.49992294077291788</v>
      </c>
      <c r="J26" t="s">
        <v>11</v>
      </c>
      <c r="K26">
        <f>(SUM(A$1:D1)+SUM(E$1:H1))/SUM(A$1:P1)</f>
        <v>0.50013770748996622</v>
      </c>
    </row>
    <row r="27" spans="1:13" x14ac:dyDescent="0.25">
      <c r="B27" t="s">
        <v>8</v>
      </c>
      <c r="C27">
        <f>(C24-C25)/((C26*(1-C26)*(1/SUM(A$1:H1)+1/SUM(I$1:P1)))^(1/2))</f>
        <v>1.0932716537865033</v>
      </c>
      <c r="J27" t="s">
        <v>8</v>
      </c>
      <c r="K27">
        <f>(K24-K25)/((K26*(1-K26)*(1/(SUM(A$1:D1)+SUM(I$1:L1))+1/(SUM(E$1:H1)+SUM(M$1:P1))))^(1/2))</f>
        <v>1.0932716537859641</v>
      </c>
    </row>
    <row r="28" spans="1:13" x14ac:dyDescent="0.25">
      <c r="B28" t="s">
        <v>9</v>
      </c>
      <c r="C28">
        <f>(1-_xlfn.NORM.DIST(ABS(C27),0,1,TRUE))*2</f>
        <v>0.27427454474412771</v>
      </c>
      <c r="J28" t="s">
        <v>9</v>
      </c>
      <c r="K28">
        <f>(1-_xlfn.NORM.DIST(ABS(K27),0,1,TRUE))*2</f>
        <v>0.27427454474436419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0.50013770748996622</v>
      </c>
      <c r="E32">
        <f>(D32-1/2)*2*((SUM(A$1:P1))^(1/2))</f>
        <v>3.7212719856253722</v>
      </c>
      <c r="F32">
        <f>(1-_xlfn.NORM.DIST(ABS(E32),0,1,TRUE))*2</f>
        <v>1.9822179961281883E-4</v>
      </c>
      <c r="I32" t="s">
        <v>21</v>
      </c>
      <c r="K32">
        <f>(SUM(A$1:D1)+SUM(I$1:L1))/SUM(A$1:P1)</f>
        <v>0.49992294077291788</v>
      </c>
      <c r="L32">
        <f>(K32-1/2)*2*((SUM(A$1:P1))^(1/2))</f>
        <v>-2.0823728836026434</v>
      </c>
      <c r="M32">
        <f>(1-_xlfn.NORM.DIST(ABS(L32),0,1,TRUE))*2</f>
        <v>3.7308423305591143E-2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6892</v>
      </c>
      <c r="B1">
        <v>3407</v>
      </c>
      <c r="C1">
        <v>3343</v>
      </c>
      <c r="D1">
        <v>45635804</v>
      </c>
      <c r="E1">
        <v>6953</v>
      </c>
      <c r="F1">
        <v>3227</v>
      </c>
      <c r="G1">
        <v>25278</v>
      </c>
      <c r="H1">
        <v>45620674</v>
      </c>
      <c r="I1">
        <v>7014</v>
      </c>
      <c r="J1">
        <v>22554</v>
      </c>
      <c r="K1">
        <v>3375</v>
      </c>
      <c r="L1">
        <v>45583981</v>
      </c>
      <c r="M1">
        <v>137</v>
      </c>
      <c r="N1">
        <v>29267</v>
      </c>
      <c r="O1">
        <v>32217</v>
      </c>
      <c r="P1">
        <v>45576753</v>
      </c>
    </row>
    <row r="3" spans="1:16" x14ac:dyDescent="0.25">
      <c r="C3" t="s">
        <v>0</v>
      </c>
      <c r="D3">
        <f>SUM(A$1:D1)</f>
        <v>45649446</v>
      </c>
      <c r="G3" t="s">
        <v>1</v>
      </c>
      <c r="H3">
        <f>SUM(E$1:H1)</f>
        <v>45656132</v>
      </c>
      <c r="K3" t="s">
        <v>2</v>
      </c>
      <c r="L3">
        <f>SUM(I$1:L1)</f>
        <v>45616924</v>
      </c>
      <c r="O3" t="s">
        <v>3</v>
      </c>
      <c r="P3">
        <f>SUM(M$1:P1)</f>
        <v>45638374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2.2561062405883304E-4</v>
      </c>
      <c r="E8" t="s">
        <v>8</v>
      </c>
      <c r="F8" t="s">
        <v>9</v>
      </c>
      <c r="J8" t="s">
        <v>7</v>
      </c>
      <c r="K8">
        <f>SUM(I$1:J1)/SUM(I$1:L1)</f>
        <v>6.4818048669831397E-4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2.2297114437990498E-4</v>
      </c>
      <c r="E9">
        <f>(C8-C9)/((C10*(1-C10)*(1/$D3+1/$H3))^(1/2))</f>
        <v>0.8421316165662317</v>
      </c>
      <c r="F9">
        <f>(1-_xlfn.NORM.DIST(ABS(E9),0,1,TRUE))*2</f>
        <v>0.39971428577504664</v>
      </c>
      <c r="J9" t="s">
        <v>10</v>
      </c>
      <c r="K9">
        <f>SUM(M$1:N1)/SUM(M$1:P1)</f>
        <v>6.4428237517839707E-4</v>
      </c>
      <c r="M9">
        <f>(K8-K9)/((K10*(1-K10)*(1/$D3+1/$H3))^(1/2))</f>
        <v>0.73285727903519216</v>
      </c>
      <c r="N9">
        <f>(1-_xlfn.NORM.DIST(ABS(M9),0,1,TRUE))*2</f>
        <v>0.46364548158974928</v>
      </c>
    </row>
    <row r="10" spans="1:16" x14ac:dyDescent="0.25">
      <c r="B10" t="s">
        <v>11</v>
      </c>
      <c r="C10">
        <f>(SUM(A$1:B1)+SUM(E$1:F1))/SUM(A$1:H1)</f>
        <v>2.2429078757926486E-4</v>
      </c>
      <c r="J10" t="s">
        <v>11</v>
      </c>
      <c r="K10">
        <f>(SUM(I$1:J1)+SUM(M$1:N1))/SUM(I$1:P1)</f>
        <v>6.4623097280335439E-4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2.2420863552210469E-4</v>
      </c>
      <c r="F14" t="s">
        <v>7</v>
      </c>
      <c r="G14">
        <f>(SUM(E$1:E1)+SUM(G$1:G1))/SUM(E$1:H1)</f>
        <v>7.0595117431323357E-4</v>
      </c>
    </row>
    <row r="15" spans="1:16" x14ac:dyDescent="0.25">
      <c r="B15" t="s">
        <v>10</v>
      </c>
      <c r="C15">
        <f>(SUM(I$1:I1)+SUM(K$1:K1))/SUM(I$1:L1)</f>
        <v>2.2774442222364664E-4</v>
      </c>
      <c r="F15" t="s">
        <v>10</v>
      </c>
      <c r="G15">
        <f>(SUM(M$1:M1)+SUM(O$1:O1))/SUM(M$1:P1)</f>
        <v>7.0892096199571002E-4</v>
      </c>
    </row>
    <row r="16" spans="1:16" x14ac:dyDescent="0.25">
      <c r="B16" t="s">
        <v>11</v>
      </c>
      <c r="C16">
        <f>(SUM(A$1:A1)+SUM(C$1:C1)+SUM(I$1:I1)+SUM(K$1:K1))/(SUM(A$1:D1)+SUM(I$1:L1))</f>
        <v>2.2597589889901396E-4</v>
      </c>
      <c r="F16" t="s">
        <v>11</v>
      </c>
      <c r="G16">
        <f>(SUM(E$1:E1)+SUM(G$1:G1)+SUM(M$1:M1)+SUM(O$1:O1))/(SUM(E$1:H1)+SUM(M$1:P1))</f>
        <v>7.0743577932279951E-4</v>
      </c>
    </row>
    <row r="17" spans="1:13" x14ac:dyDescent="0.25">
      <c r="B17" t="s">
        <v>8</v>
      </c>
      <c r="C17">
        <f>(C14-C15)/((C16*(1-C16)*(1/$D3+1/$H3))^(1/2))</f>
        <v>-1.1238872142131076</v>
      </c>
      <c r="F17" t="s">
        <v>8</v>
      </c>
      <c r="G17">
        <f>(G14-G15)/((G16*(1-G16)*(1/$D3+1/$H3))^(1/2))</f>
        <v>-0.53364718328273619</v>
      </c>
    </row>
    <row r="18" spans="1:13" x14ac:dyDescent="0.25">
      <c r="B18" t="s">
        <v>9</v>
      </c>
      <c r="C18">
        <f>(1-_xlfn.NORM.DIST(ABS(C17),0,1,TRUE))*2</f>
        <v>0.26106087610025175</v>
      </c>
      <c r="F18" t="s">
        <v>9</v>
      </c>
      <c r="G18">
        <f>(1-_xlfn.NORM.DIST(ABS(G17),0,1,TRUE))*2</f>
        <v>0.59358565739622016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0.4999633866837796</v>
      </c>
      <c r="J24" t="s">
        <v>7</v>
      </c>
      <c r="K24">
        <f>SUM(A$1:D1)/(SUM(A$1:D1)+SUM(I$1:L1))</f>
        <v>0.50017817077637683</v>
      </c>
    </row>
    <row r="25" spans="1:13" x14ac:dyDescent="0.25">
      <c r="B25" t="s">
        <v>10</v>
      </c>
      <c r="C25">
        <f>SUM(I$1:L1)/SUM(I$1:P1)</f>
        <v>0.49988247257709906</v>
      </c>
      <c r="J25" t="s">
        <v>10</v>
      </c>
      <c r="K25">
        <f>SUM(E$1:H1)/(SUM(E$1:H1)+SUM(M$1:P1))</f>
        <v>0.50009725667391203</v>
      </c>
    </row>
    <row r="26" spans="1:13" x14ac:dyDescent="0.25">
      <c r="B26" t="s">
        <v>11</v>
      </c>
      <c r="C26">
        <f>(SUM(A$1:D1)+SUM(I$1:L1))/SUM(A$1:P1)</f>
        <v>0.49992294077291788</v>
      </c>
      <c r="J26" t="s">
        <v>11</v>
      </c>
      <c r="K26">
        <f>(SUM(A$1:D1)+SUM(E$1:H1))/SUM(A$1:P1)</f>
        <v>0.50013770748996622</v>
      </c>
    </row>
    <row r="27" spans="1:13" x14ac:dyDescent="0.25">
      <c r="B27" t="s">
        <v>8</v>
      </c>
      <c r="C27">
        <f>(C24-C25)/((C26*(1-C26)*(1/SUM(A$1:H1)+1/SUM(I$1:P1)))^(1/2))</f>
        <v>1.0932716537865033</v>
      </c>
      <c r="J27" t="s">
        <v>8</v>
      </c>
      <c r="K27">
        <f>(K24-K25)/((K26*(1-K26)*(1/(SUM(A$1:D1)+SUM(I$1:L1))+1/(SUM(E$1:H1)+SUM(M$1:P1))))^(1/2))</f>
        <v>1.0932716537859641</v>
      </c>
    </row>
    <row r="28" spans="1:13" x14ac:dyDescent="0.25">
      <c r="B28" t="s">
        <v>9</v>
      </c>
      <c r="C28">
        <f>(1-_xlfn.NORM.DIST(ABS(C27),0,1,TRUE))*2</f>
        <v>0.27427454474412771</v>
      </c>
      <c r="J28" t="s">
        <v>9</v>
      </c>
      <c r="K28">
        <f>(1-_xlfn.NORM.DIST(ABS(K27),0,1,TRUE))*2</f>
        <v>0.27427454474436419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0.50013770748996622</v>
      </c>
      <c r="E32">
        <f>(D32-1/2)*2*((SUM(A$1:P1))^(1/2))</f>
        <v>3.7212719856253722</v>
      </c>
      <c r="F32">
        <f>(1-_xlfn.NORM.DIST(ABS(E32),0,1,TRUE))*2</f>
        <v>1.9822179961281883E-4</v>
      </c>
      <c r="I32" t="s">
        <v>21</v>
      </c>
      <c r="K32">
        <f>(SUM(A$1:D1)+SUM(I$1:L1))/SUM(A$1:P1)</f>
        <v>0.49992294077291788</v>
      </c>
      <c r="L32">
        <f>(K32-1/2)*2*((SUM(A$1:P1))^(1/2))</f>
        <v>-2.0823728836026434</v>
      </c>
      <c r="M32">
        <f>(1-_xlfn.NORM.DIST(ABS(L32),0,1,TRUE))*2</f>
        <v>3.7308423305591143E-2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9688</v>
      </c>
      <c r="B1">
        <v>4759</v>
      </c>
      <c r="C1">
        <v>4667</v>
      </c>
      <c r="D1">
        <v>45630332</v>
      </c>
      <c r="E1">
        <v>9881</v>
      </c>
      <c r="F1">
        <v>4485</v>
      </c>
      <c r="G1">
        <v>35117</v>
      </c>
      <c r="H1">
        <v>45606649</v>
      </c>
      <c r="I1">
        <v>9724</v>
      </c>
      <c r="J1">
        <v>31358</v>
      </c>
      <c r="K1">
        <v>4715</v>
      </c>
      <c r="L1">
        <v>45571127</v>
      </c>
      <c r="M1">
        <v>200</v>
      </c>
      <c r="N1">
        <v>40871</v>
      </c>
      <c r="O1">
        <v>45194</v>
      </c>
      <c r="P1">
        <v>45552109</v>
      </c>
    </row>
    <row r="3" spans="1:16" x14ac:dyDescent="0.25">
      <c r="C3" t="s">
        <v>0</v>
      </c>
      <c r="D3">
        <f>SUM(A$1:D1)</f>
        <v>45649446</v>
      </c>
      <c r="G3" t="s">
        <v>1</v>
      </c>
      <c r="H3">
        <f>SUM(E$1:H1)</f>
        <v>45656132</v>
      </c>
      <c r="K3" t="s">
        <v>2</v>
      </c>
      <c r="L3">
        <f>SUM(I$1:L1)</f>
        <v>45616924</v>
      </c>
      <c r="O3" t="s">
        <v>3</v>
      </c>
      <c r="P3">
        <f>SUM(M$1:P1)</f>
        <v>45638374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3.1647700609553945E-4</v>
      </c>
      <c r="E8" t="s">
        <v>8</v>
      </c>
      <c r="F8" t="s">
        <v>9</v>
      </c>
      <c r="J8" t="s">
        <v>7</v>
      </c>
      <c r="K8">
        <f>SUM(I$1:J1)/SUM(I$1:L1)</f>
        <v>9.0058680852746664E-4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3.1465652850311542E-4</v>
      </c>
      <c r="E9">
        <f>(C8-C9)/((C10*(1-C10)*(1/$D3+1/$H3))^(1/2))</f>
        <v>0.48969643980053029</v>
      </c>
      <c r="F9">
        <f>(1-_xlfn.NORM.DIST(ABS(E9),0,1,TRUE))*2</f>
        <v>0.62434872151545795</v>
      </c>
      <c r="J9" t="s">
        <v>10</v>
      </c>
      <c r="K9">
        <f>SUM(M$1:N1)/SUM(M$1:P1)</f>
        <v>8.9992250819452948E-4</v>
      </c>
      <c r="M9">
        <f>(K8-K9)/((K10*(1-K10)*(1/$D3+1/$H3))^(1/2))</f>
        <v>0.10582689021978629</v>
      </c>
      <c r="N9">
        <f>(1-_xlfn.NORM.DIST(ABS(M9),0,1,TRUE))*2</f>
        <v>0.91571970127596591</v>
      </c>
    </row>
    <row r="10" spans="1:16" x14ac:dyDescent="0.25">
      <c r="B10" t="s">
        <v>11</v>
      </c>
      <c r="C10">
        <f>(SUM(A$1:B1)+SUM(E$1:F1))/SUM(A$1:H1)</f>
        <v>3.155667006456057E-4</v>
      </c>
      <c r="J10" t="s">
        <v>11</v>
      </c>
      <c r="K10">
        <f>(SUM(I$1:J1)+SUM(M$1:N1))/SUM(I$1:P1)</f>
        <v>9.0025458028749196E-4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3.1446164757399246E-4</v>
      </c>
      <c r="F14" t="s">
        <v>7</v>
      </c>
      <c r="G14">
        <f>(SUM(E$1:E1)+SUM(G$1:G1))/SUM(E$1:H1)</f>
        <v>9.8558502503015371E-4</v>
      </c>
    </row>
    <row r="15" spans="1:16" x14ac:dyDescent="0.25">
      <c r="B15" t="s">
        <v>10</v>
      </c>
      <c r="C15">
        <f>(SUM(I$1:I1)+SUM(K$1:K1))/SUM(I$1:L1)</f>
        <v>3.1652726080346849E-4</v>
      </c>
      <c r="F15" t="s">
        <v>10</v>
      </c>
      <c r="G15">
        <f>(SUM(M$1:M1)+SUM(O$1:O1))/SUM(M$1:P1)</f>
        <v>9.9464542711359531E-4</v>
      </c>
    </row>
    <row r="16" spans="1:16" x14ac:dyDescent="0.25">
      <c r="B16" t="s">
        <v>11</v>
      </c>
      <c r="C16">
        <f>(SUM(A$1:A1)+SUM(C$1:C1)+SUM(I$1:I1)+SUM(K$1:K1))/(SUM(A$1:D1)+SUM(I$1:L1))</f>
        <v>3.1549408615681767E-4</v>
      </c>
      <c r="F16" t="s">
        <v>11</v>
      </c>
      <c r="G16">
        <f>(SUM(E$1:E1)+SUM(G$1:G1)+SUM(M$1:M1)+SUM(O$1:O1))/(SUM(E$1:H1)+SUM(M$1:P1))</f>
        <v>9.9011434488730345E-4</v>
      </c>
    </row>
    <row r="17" spans="1:13" x14ac:dyDescent="0.25">
      <c r="B17" t="s">
        <v>8</v>
      </c>
      <c r="C17">
        <f>(C14-C15)/((C16*(1-C16)*(1/$D3+1/$H3))^(1/2))</f>
        <v>-0.55570022501869931</v>
      </c>
      <c r="F17" t="s">
        <v>8</v>
      </c>
      <c r="G17">
        <f>(G14-G15)/((G16*(1-G16)*(1/$D3+1/$H3))^(1/2))</f>
        <v>-1.376380655817429</v>
      </c>
    </row>
    <row r="18" spans="1:13" x14ac:dyDescent="0.25">
      <c r="B18" t="s">
        <v>9</v>
      </c>
      <c r="C18">
        <f>(1-_xlfn.NORM.DIST(ABS(C17),0,1,TRUE))*2</f>
        <v>0.57841580273418836</v>
      </c>
      <c r="F18" t="s">
        <v>9</v>
      </c>
      <c r="G18">
        <f>(1-_xlfn.NORM.DIST(ABS(G17),0,1,TRUE))*2</f>
        <v>0.1687038137025878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0.4999633866837796</v>
      </c>
      <c r="J24" t="s">
        <v>7</v>
      </c>
      <c r="K24">
        <f>SUM(A$1:D1)/(SUM(A$1:D1)+SUM(I$1:L1))</f>
        <v>0.50017817077637683</v>
      </c>
    </row>
    <row r="25" spans="1:13" x14ac:dyDescent="0.25">
      <c r="B25" t="s">
        <v>10</v>
      </c>
      <c r="C25">
        <f>SUM(I$1:L1)/SUM(I$1:P1)</f>
        <v>0.49988247257709906</v>
      </c>
      <c r="J25" t="s">
        <v>10</v>
      </c>
      <c r="K25">
        <f>SUM(E$1:H1)/(SUM(E$1:H1)+SUM(M$1:P1))</f>
        <v>0.50009725667391203</v>
      </c>
    </row>
    <row r="26" spans="1:13" x14ac:dyDescent="0.25">
      <c r="B26" t="s">
        <v>11</v>
      </c>
      <c r="C26">
        <f>(SUM(A$1:D1)+SUM(I$1:L1))/SUM(A$1:P1)</f>
        <v>0.49992294077291788</v>
      </c>
      <c r="J26" t="s">
        <v>11</v>
      </c>
      <c r="K26">
        <f>(SUM(A$1:D1)+SUM(E$1:H1))/SUM(A$1:P1)</f>
        <v>0.50013770748996622</v>
      </c>
    </row>
    <row r="27" spans="1:13" x14ac:dyDescent="0.25">
      <c r="B27" t="s">
        <v>8</v>
      </c>
      <c r="C27">
        <f>(C24-C25)/((C26*(1-C26)*(1/SUM(A$1:H1)+1/SUM(I$1:P1)))^(1/2))</f>
        <v>1.0932716537865033</v>
      </c>
      <c r="J27" t="s">
        <v>8</v>
      </c>
      <c r="K27">
        <f>(K24-K25)/((K26*(1-K26)*(1/(SUM(A$1:D1)+SUM(I$1:L1))+1/(SUM(E$1:H1)+SUM(M$1:P1))))^(1/2))</f>
        <v>1.0932716537859641</v>
      </c>
    </row>
    <row r="28" spans="1:13" x14ac:dyDescent="0.25">
      <c r="B28" t="s">
        <v>9</v>
      </c>
      <c r="C28">
        <f>(1-_xlfn.NORM.DIST(ABS(C27),0,1,TRUE))*2</f>
        <v>0.27427454474412771</v>
      </c>
      <c r="J28" t="s">
        <v>9</v>
      </c>
      <c r="K28">
        <f>(1-_xlfn.NORM.DIST(ABS(K27),0,1,TRUE))*2</f>
        <v>0.27427454474436419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0.50013770748996622</v>
      </c>
      <c r="E32">
        <f>(D32-1/2)*2*((SUM(A$1:P1))^(1/2))</f>
        <v>3.7212719856253722</v>
      </c>
      <c r="F32">
        <f>(1-_xlfn.NORM.DIST(ABS(E32),0,1,TRUE))*2</f>
        <v>1.9822179961281883E-4</v>
      </c>
      <c r="I32" t="s">
        <v>21</v>
      </c>
      <c r="K32">
        <f>(SUM(A$1:D1)+SUM(I$1:L1))/SUM(A$1:P1)</f>
        <v>0.49992294077291788</v>
      </c>
      <c r="L32">
        <f>(K32-1/2)*2*((SUM(A$1:P1))^(1/2))</f>
        <v>-2.0823728836026434</v>
      </c>
      <c r="M32">
        <f>(1-_xlfn.NORM.DIST(ABS(L32),0,1,TRUE))*2</f>
        <v>3.7308423305591143E-2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topLeftCell="B3" zoomScaleNormal="100" workbookViewId="0">
      <selection activeCell="R3" sqref="R3"/>
    </sheetView>
  </sheetViews>
  <sheetFormatPr defaultRowHeight="15" x14ac:dyDescent="0.25"/>
  <sheetData>
    <row r="1" spans="1:18" x14ac:dyDescent="0.25">
      <c r="A1">
        <v>12396</v>
      </c>
      <c r="B1">
        <v>6187</v>
      </c>
      <c r="C1">
        <v>6014</v>
      </c>
      <c r="D1">
        <v>45624849</v>
      </c>
      <c r="E1">
        <v>12804</v>
      </c>
      <c r="F1">
        <v>5743</v>
      </c>
      <c r="G1">
        <v>44939</v>
      </c>
      <c r="H1">
        <v>45592646</v>
      </c>
      <c r="I1">
        <v>12488</v>
      </c>
      <c r="J1">
        <v>40314</v>
      </c>
      <c r="K1">
        <v>6070</v>
      </c>
      <c r="L1">
        <v>45558052</v>
      </c>
      <c r="M1">
        <v>268</v>
      </c>
      <c r="N1">
        <v>52615</v>
      </c>
      <c r="O1">
        <v>57805</v>
      </c>
      <c r="P1">
        <v>45527686</v>
      </c>
    </row>
    <row r="3" spans="1:18" x14ac:dyDescent="0.25">
      <c r="C3" t="s">
        <v>0</v>
      </c>
      <c r="D3">
        <f>SUM(A$1:D1)</f>
        <v>45649446</v>
      </c>
      <c r="G3" t="s">
        <v>1</v>
      </c>
      <c r="H3">
        <f>SUM(E$1:H1)</f>
        <v>45656132</v>
      </c>
      <c r="K3" t="s">
        <v>2</v>
      </c>
      <c r="L3">
        <f>SUM(I$1:L1)</f>
        <v>45616924</v>
      </c>
      <c r="O3" t="s">
        <v>3</v>
      </c>
      <c r="P3">
        <f>SUM(M$1:P1)</f>
        <v>45638374</v>
      </c>
      <c r="R3">
        <v>13</v>
      </c>
    </row>
    <row r="5" spans="1:18" x14ac:dyDescent="0.25">
      <c r="A5" t="s">
        <v>4</v>
      </c>
    </row>
    <row r="6" spans="1:18" x14ac:dyDescent="0.25">
      <c r="A6" t="s">
        <v>5</v>
      </c>
      <c r="I6" t="s">
        <v>6</v>
      </c>
    </row>
    <row r="8" spans="1:18" x14ac:dyDescent="0.25">
      <c r="B8" t="s">
        <v>7</v>
      </c>
      <c r="C8">
        <f>SUM(A$1:B1)/SUM(A$1:D1)</f>
        <v>4.0708051528160936E-4</v>
      </c>
      <c r="E8" t="s">
        <v>8</v>
      </c>
      <c r="F8" t="s">
        <v>9</v>
      </c>
      <c r="J8" t="s">
        <v>7</v>
      </c>
      <c r="K8">
        <f>SUM(I$1:J1)/SUM(I$1:L1)</f>
        <v>1.1575089981954944E-3</v>
      </c>
      <c r="M8" t="s">
        <v>8</v>
      </c>
      <c r="N8" t="s">
        <v>9</v>
      </c>
    </row>
    <row r="9" spans="1:18" x14ac:dyDescent="0.25">
      <c r="B9" t="s">
        <v>10</v>
      </c>
      <c r="C9">
        <f>SUM(E$1:F1)/SUM(E$1:H1)</f>
        <v>4.0623239831179741E-4</v>
      </c>
      <c r="E9">
        <f>(C8-C9)/((C10*(1-C10)*(1/$D3+1/$H3))^(1/2))</f>
        <v>0.20097818224914735</v>
      </c>
      <c r="F9">
        <f>(1-_xlfn.NORM.DIST(ABS(E9),0,1,TRUE))*2</f>
        <v>0.84071563402818406</v>
      </c>
      <c r="J9" t="s">
        <v>10</v>
      </c>
      <c r="K9">
        <f>SUM(M$1:N1)/SUM(M$1:P1)</f>
        <v>1.1587397920881229E-3</v>
      </c>
      <c r="M9">
        <f>(K8-K9)/((K10*(1-K10)*(1/$D3+1/$H3))^(1/2))</f>
        <v>-0.17289323004471632</v>
      </c>
      <c r="N9">
        <f>(1-_xlfn.NORM.DIST(ABS(M9),0,1,TRUE))*2</f>
        <v>0.86273535316034056</v>
      </c>
    </row>
    <row r="10" spans="1:18" x14ac:dyDescent="0.25">
      <c r="B10" t="s">
        <v>11</v>
      </c>
      <c r="C10">
        <f>(SUM(A$1:B1)+SUM(E$1:F1))/SUM(A$1:H1)</f>
        <v>4.0665642574432855E-4</v>
      </c>
      <c r="J10" t="s">
        <v>11</v>
      </c>
      <c r="K10">
        <f>(SUM(I$1:J1)+SUM(M$1:N1))/SUM(I$1:P1)</f>
        <v>1.158124539793843E-3</v>
      </c>
    </row>
    <row r="12" spans="1:18" x14ac:dyDescent="0.25">
      <c r="A12" t="s">
        <v>12</v>
      </c>
      <c r="F12" t="s">
        <v>13</v>
      </c>
    </row>
    <row r="14" spans="1:18" x14ac:dyDescent="0.25">
      <c r="B14" t="s">
        <v>7</v>
      </c>
      <c r="C14">
        <f>(SUM(A$1:A1)+SUM(C$1:C1))/SUM(A$1:D1)</f>
        <v>4.0329076501826547E-4</v>
      </c>
      <c r="F14" t="s">
        <v>7</v>
      </c>
      <c r="G14">
        <f>(SUM(E$1:E1)+SUM(G$1:G1))/SUM(E$1:H1)</f>
        <v>1.2647370127631488E-3</v>
      </c>
    </row>
    <row r="15" spans="1:18" x14ac:dyDescent="0.25">
      <c r="B15" t="s">
        <v>10</v>
      </c>
      <c r="C15">
        <f>(SUM(I$1:I1)+SUM(K$1:K1))/SUM(I$1:L1)</f>
        <v>4.0682269589242798E-4</v>
      </c>
      <c r="F15" t="s">
        <v>10</v>
      </c>
      <c r="G15">
        <f>(SUM(M$1:M1)+SUM(O$1:O1))/SUM(M$1:P1)</f>
        <v>1.2724598821158702E-3</v>
      </c>
    </row>
    <row r="16" spans="1:18" x14ac:dyDescent="0.25">
      <c r="B16" t="s">
        <v>11</v>
      </c>
      <c r="C16">
        <f>(SUM(A$1:A1)+SUM(C$1:C1)+SUM(I$1:I1)+SUM(K$1:K1))/(SUM(A$1:D1)+SUM(I$1:L1))</f>
        <v>4.0505610116848081E-4</v>
      </c>
      <c r="F16" t="s">
        <v>11</v>
      </c>
      <c r="G16">
        <f>(SUM(E$1:E1)+SUM(G$1:G1)+SUM(M$1:M1)+SUM(O$1:O1))/(SUM(E$1:H1)+SUM(M$1:P1))</f>
        <v>1.2685976963389232E-3</v>
      </c>
    </row>
    <row r="17" spans="1:13" x14ac:dyDescent="0.25">
      <c r="B17" t="s">
        <v>8</v>
      </c>
      <c r="C17">
        <f>(C14-C15)/((C16*(1-C16)*(1/$D3+1/$H3))^(1/2))</f>
        <v>-0.83861232112560569</v>
      </c>
      <c r="F17" t="s">
        <v>8</v>
      </c>
      <c r="G17">
        <f>(G14-G15)/((G16*(1-G16)*(1/$D3+1/$H3))^(1/2))</f>
        <v>-1.0365995938312076</v>
      </c>
    </row>
    <row r="18" spans="1:13" x14ac:dyDescent="0.25">
      <c r="B18" t="s">
        <v>9</v>
      </c>
      <c r="C18">
        <f>(1-_xlfn.NORM.DIST(ABS(C17),0,1,TRUE))*2</f>
        <v>0.40168689428459214</v>
      </c>
      <c r="F18" t="s">
        <v>9</v>
      </c>
      <c r="G18">
        <f>(1-_xlfn.NORM.DIST(ABS(G17),0,1,TRUE))*2</f>
        <v>0.29992250267587384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0.4999633866837796</v>
      </c>
      <c r="J24" t="s">
        <v>7</v>
      </c>
      <c r="K24">
        <f>SUM(A$1:D1)/(SUM(A$1:D1)+SUM(I$1:L1))</f>
        <v>0.50017817077637683</v>
      </c>
    </row>
    <row r="25" spans="1:13" x14ac:dyDescent="0.25">
      <c r="B25" t="s">
        <v>10</v>
      </c>
      <c r="C25">
        <f>SUM(I$1:L1)/SUM(I$1:P1)</f>
        <v>0.49988247257709906</v>
      </c>
      <c r="J25" t="s">
        <v>10</v>
      </c>
      <c r="K25">
        <f>SUM(E$1:H1)/(SUM(E$1:H1)+SUM(M$1:P1))</f>
        <v>0.50009725667391203</v>
      </c>
    </row>
    <row r="26" spans="1:13" x14ac:dyDescent="0.25">
      <c r="B26" t="s">
        <v>11</v>
      </c>
      <c r="C26">
        <f>(SUM(A$1:D1)+SUM(I$1:L1))/SUM(A$1:P1)</f>
        <v>0.49992294077291788</v>
      </c>
      <c r="J26" t="s">
        <v>11</v>
      </c>
      <c r="K26">
        <f>(SUM(A$1:D1)+SUM(E$1:H1))/SUM(A$1:P1)</f>
        <v>0.50013770748996622</v>
      </c>
    </row>
    <row r="27" spans="1:13" x14ac:dyDescent="0.25">
      <c r="B27" t="s">
        <v>8</v>
      </c>
      <c r="C27">
        <f>(C24-C25)/((C26*(1-C26)*(1/SUM(A$1:H1)+1/SUM(I$1:P1)))^(1/2))</f>
        <v>1.0932716537865033</v>
      </c>
      <c r="J27" t="s">
        <v>8</v>
      </c>
      <c r="K27">
        <f>(K24-K25)/((K26*(1-K26)*(1/(SUM(A$1:D1)+SUM(I$1:L1))+1/(SUM(E$1:H1)+SUM(M$1:P1))))^(1/2))</f>
        <v>1.0932716537859641</v>
      </c>
    </row>
    <row r="28" spans="1:13" x14ac:dyDescent="0.25">
      <c r="B28" t="s">
        <v>9</v>
      </c>
      <c r="C28">
        <f>(1-_xlfn.NORM.DIST(ABS(C27),0,1,TRUE))*2</f>
        <v>0.27427454474412771</v>
      </c>
      <c r="J28" t="s">
        <v>9</v>
      </c>
      <c r="K28">
        <f>(1-_xlfn.NORM.DIST(ABS(K27),0,1,TRUE))*2</f>
        <v>0.27427454474436419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0.50013770748996622</v>
      </c>
      <c r="E32">
        <f>(D32-1/2)*2*((SUM(A$1:P1))^(1/2))</f>
        <v>3.7212719856253722</v>
      </c>
      <c r="F32">
        <f>(1-_xlfn.NORM.DIST(ABS(E32),0,1,TRUE))*2</f>
        <v>1.9822179961281883E-4</v>
      </c>
      <c r="I32" t="s">
        <v>21</v>
      </c>
      <c r="K32">
        <f>(SUM(A$1:D1)+SUM(I$1:L1))/SUM(A$1:P1)</f>
        <v>0.49992294077291788</v>
      </c>
      <c r="L32">
        <f>(K32-1/2)*2*((SUM(A$1:P1))^(1/2))</f>
        <v>-2.0823728836026434</v>
      </c>
      <c r="M32">
        <f>(1-_xlfn.NORM.DIST(ABS(L32),0,1,TRUE))*2</f>
        <v>3.7308423305591143E-2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</vt:lpstr>
      <vt:lpstr>456</vt:lpstr>
      <vt:lpstr>34567</vt:lpstr>
      <vt:lpstr>2345678</vt:lpstr>
      <vt:lpstr>123456789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2015-10-15T23:31:16Z</dcterms:modified>
</cp:coreProperties>
</file>