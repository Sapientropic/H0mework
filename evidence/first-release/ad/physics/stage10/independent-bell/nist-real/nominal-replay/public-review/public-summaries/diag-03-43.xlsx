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R3" i="5" l="1"/>
  <c r="K32" i="5" l="1"/>
  <c r="L32" i="5" s="1"/>
  <c r="M32" i="5" s="1"/>
  <c r="D32" i="5"/>
  <c r="E32" i="5" s="1"/>
  <c r="F32" i="5" s="1"/>
  <c r="K26" i="5"/>
  <c r="K27" i="5" s="1"/>
  <c r="K28" i="5" s="1"/>
  <c r="C26" i="5"/>
  <c r="K25" i="5"/>
  <c r="C25" i="5"/>
  <c r="C27" i="5" s="1"/>
  <c r="C28" i="5" s="1"/>
  <c r="K24" i="5"/>
  <c r="C24" i="5"/>
  <c r="G16" i="5"/>
  <c r="C16" i="5"/>
  <c r="G15" i="5"/>
  <c r="C15" i="5"/>
  <c r="G14" i="5"/>
  <c r="G17" i="5" s="1"/>
  <c r="G18" i="5" s="1"/>
  <c r="C14" i="5"/>
  <c r="K10" i="5"/>
  <c r="C10" i="5"/>
  <c r="K9" i="5"/>
  <c r="C9" i="5"/>
  <c r="E9" i="5" s="1"/>
  <c r="F9" i="5" s="1"/>
  <c r="K8" i="5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K27" i="4" s="1"/>
  <c r="K28" i="4" s="1"/>
  <c r="C24" i="4"/>
  <c r="G16" i="4"/>
  <c r="C16" i="4"/>
  <c r="G15" i="4"/>
  <c r="C15" i="4"/>
  <c r="G14" i="4"/>
  <c r="C14" i="4"/>
  <c r="K10" i="4"/>
  <c r="C10" i="4"/>
  <c r="K9" i="4"/>
  <c r="C9" i="4"/>
  <c r="K8" i="4"/>
  <c r="C8" i="4"/>
  <c r="P3" i="4"/>
  <c r="L3" i="4"/>
  <c r="H3" i="4"/>
  <c r="D3" i="4"/>
  <c r="K32" i="3"/>
  <c r="L32" i="3" s="1"/>
  <c r="M32" i="3" s="1"/>
  <c r="D32" i="3"/>
  <c r="E32" i="3" s="1"/>
  <c r="F32" i="3" s="1"/>
  <c r="K26" i="3"/>
  <c r="C26" i="3"/>
  <c r="K25" i="3"/>
  <c r="C25" i="3"/>
  <c r="K24" i="3"/>
  <c r="C24" i="3"/>
  <c r="G16" i="3"/>
  <c r="C16" i="3"/>
  <c r="G15" i="3"/>
  <c r="C15" i="3"/>
  <c r="G14" i="3"/>
  <c r="G17" i="3" s="1"/>
  <c r="G18" i="3" s="1"/>
  <c r="C14" i="3"/>
  <c r="C17" i="3" s="1"/>
  <c r="C18" i="3" s="1"/>
  <c r="K10" i="3"/>
  <c r="C10" i="3"/>
  <c r="K9" i="3"/>
  <c r="C9" i="3"/>
  <c r="K8" i="3"/>
  <c r="C8" i="3"/>
  <c r="E9" i="3" s="1"/>
  <c r="F9" i="3" s="1"/>
  <c r="P3" i="3"/>
  <c r="L3" i="3"/>
  <c r="H3" i="3"/>
  <c r="D3" i="3"/>
  <c r="L32" i="2"/>
  <c r="M32" i="2" s="1"/>
  <c r="K32" i="2"/>
  <c r="D32" i="2"/>
  <c r="E32" i="2" s="1"/>
  <c r="F32" i="2" s="1"/>
  <c r="C27" i="2"/>
  <c r="C28" i="2" s="1"/>
  <c r="K26" i="2"/>
  <c r="C26" i="2"/>
  <c r="K25" i="2"/>
  <c r="C25" i="2"/>
  <c r="K24" i="2"/>
  <c r="K27" i="2" s="1"/>
  <c r="K28" i="2" s="1"/>
  <c r="C24" i="2"/>
  <c r="G16" i="2"/>
  <c r="C16" i="2"/>
  <c r="G15" i="2"/>
  <c r="C15" i="2"/>
  <c r="G14" i="2"/>
  <c r="C14" i="2"/>
  <c r="K10" i="2"/>
  <c r="C10" i="2"/>
  <c r="K9" i="2"/>
  <c r="C9" i="2"/>
  <c r="E9" i="2" s="1"/>
  <c r="F9" i="2" s="1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K24" i="1"/>
  <c r="C24" i="1"/>
  <c r="G16" i="1"/>
  <c r="C16" i="1"/>
  <c r="G15" i="1"/>
  <c r="C15" i="1"/>
  <c r="C17" i="1" s="1"/>
  <c r="C18" i="1" s="1"/>
  <c r="G14" i="1"/>
  <c r="C14" i="1"/>
  <c r="K10" i="1"/>
  <c r="C10" i="1"/>
  <c r="K9" i="1"/>
  <c r="C9" i="1"/>
  <c r="K8" i="1"/>
  <c r="C8" i="1"/>
  <c r="E9" i="1" s="1"/>
  <c r="F9" i="1" s="1"/>
  <c r="P3" i="1"/>
  <c r="L3" i="1"/>
  <c r="H3" i="1"/>
  <c r="D3" i="1"/>
  <c r="C17" i="5" l="1"/>
  <c r="C18" i="5" s="1"/>
  <c r="M9" i="5"/>
  <c r="N9" i="5" s="1"/>
  <c r="E9" i="4"/>
  <c r="F9" i="4" s="1"/>
  <c r="M9" i="4"/>
  <c r="N9" i="4" s="1"/>
  <c r="G17" i="4"/>
  <c r="G18" i="4" s="1"/>
  <c r="C17" i="4"/>
  <c r="C18" i="4" s="1"/>
  <c r="C27" i="4"/>
  <c r="C28" i="4" s="1"/>
  <c r="M9" i="3"/>
  <c r="N9" i="3" s="1"/>
  <c r="C27" i="3"/>
  <c r="C28" i="3" s="1"/>
  <c r="K27" i="3"/>
  <c r="K28" i="3" s="1"/>
  <c r="M9" i="2"/>
  <c r="N9" i="2" s="1"/>
  <c r="C17" i="2"/>
  <c r="C18" i="2" s="1"/>
  <c r="G17" i="2"/>
  <c r="G18" i="2" s="1"/>
  <c r="M9" i="1"/>
  <c r="N9" i="1" s="1"/>
  <c r="G17" i="1"/>
  <c r="G18" i="1" s="1"/>
  <c r="K27" i="1"/>
  <c r="K28" i="1" s="1"/>
  <c r="C27" i="1"/>
  <c r="C28" i="1" s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<sst xmlns="http://schemas.openxmlformats.org/spreadsheetml/2006/main" count="255" uniqueCount="22">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</sst>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783</v>
      </c>
      <c r="B1">
        <v>342</v>
      </c>
      <c r="C1">
        <v>475</v>
      </c>
      <c r="D1">
        <v>26768285</v>
      </c>
      <c r="E1">
        <v>830</v>
      </c>
      <c r="F1">
        <v>370</v>
      </c>
      <c r="G1">
        <v>3011</v>
      </c>
      <c r="H1">
        <v>26751453</v>
      </c>
      <c r="I1">
        <v>767</v>
      </c>
      <c r="J1">
        <v>2745</v>
      </c>
      <c r="K1">
        <v>388</v>
      </c>
      <c r="L1">
        <v>26745828</v>
      </c>
      <c r="M1">
        <v>9</v>
      </c>
      <c r="N1">
        <v>3607</v>
      </c>
      <c r="O1">
        <v>3715</v>
      </c>
      <c r="P1">
        <v>26749589</v>
      </c>
    </row>
    <row r="3" spans="1:16" x14ac:dyDescent="0.25">
      <c r="C3" t="s">
        <v>0</v>
      </c>
      <c r="D3">
        <f>SUM(A$1:D1)</f>
        <v>26769885</v>
      </c>
      <c r="G3" t="s">
        <v>1</v>
      </c>
      <c r="H3">
        <f>SUM(E$1:H1)</f>
        <v>26755664</v>
      </c>
      <c r="K3" t="s">
        <v>2</v>
      </c>
      <c r="L3">
        <f>SUM(I$1:L1)</f>
        <v>26749728</v>
      </c>
      <c r="O3" t="s">
        <v>3</v>
      </c>
      <c r="P3">
        <f>SUM(M$1:P1)</f>
        <v>26756920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4.2024834996489523E-5</v>
      </c>
      <c r="E8" t="s">
        <v>8</v>
      </c>
      <c r="F8" t="s">
        <v>9</v>
      </c>
      <c r="J8" t="s">
        <v>7</v>
      </c>
      <c r="K8">
        <f>SUM(I$1:J1)/SUM(I$1:L1)</f>
        <v>1.312910546230601E-4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4.4850316553534232E-5</v>
      </c>
      <c r="E9">
        <f>(C8-C9)/((C10*(1-C10)*(1/$D3+1/$H3))^(1/2))</f>
        <v>-1.5682725833803723</v>
      </c>
      <c r="F9">
        <f>(1-_xlfn.NORM.DIST(ABS(E9),0,1,TRUE))*2</f>
        <v>0.11681753145692486</v>
      </c>
      <c r="J9" t="s">
        <v>10</v>
      </c>
      <c r="K9">
        <f>SUM(M$1:N1)/SUM(M$1:P1)</f>
        <v>1.3514260983700665E-4</v>
      </c>
      <c r="M9">
        <f>(K8-K9)/((K10*(1-K10)*(1/$D3+1/$H3))^(1/2))</f>
        <v>-1.2207750336753969</v>
      </c>
      <c r="N9">
        <f>(1-_xlfn.NORM.DIST(ABS(M9),0,1,TRUE))*2</f>
        <v>0.22217120912255761</v>
      </c>
    </row>
    <row r="10" spans="1:16" x14ac:dyDescent="0.25">
      <c r="B10" t="s">
        <v>11</v>
      </c>
      <c r="C10">
        <f>(SUM(A$1:B1)+SUM(E$1:F1))/SUM(A$1:H1)</f>
        <v>4.3437200429275374E-5</v>
      </c>
      <c r="J10" t="s">
        <v>11</v>
      </c>
      <c r="K10">
        <f>(SUM(I$1:J1)+SUM(M$1:N1))/SUM(I$1:P1)</f>
        <v>1.3321709107997197E-4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4.6993104378296732E-5</v>
      </c>
      <c r="F14" t="s">
        <v>7</v>
      </c>
      <c r="G14">
        <f>(SUM(E$1:E1)+SUM(G$1:G1))/SUM(E$1:H1)</f>
        <v>1.4355838823510415E-4</v>
      </c>
    </row>
    <row r="15" spans="1:16" x14ac:dyDescent="0.25">
      <c r="B15" t="s">
        <v>10</v>
      </c>
      <c r="C15">
        <f>(SUM(I$1:I1)+SUM(K$1:K1))/SUM(I$1:L1)</f>
        <v>4.3178009137139639E-5</v>
      </c>
      <c r="F15" t="s">
        <v>10</v>
      </c>
      <c r="G15">
        <f>(SUM(M$1:M1)+SUM(O$1:O1))/SUM(M$1:P1)</f>
        <v>1.391789488476252E-4</v>
      </c>
    </row>
    <row r="16" spans="1:16" x14ac:dyDescent="0.25">
      <c r="B16" t="s">
        <v>11</v>
      </c>
      <c r="C16">
        <f>(SUM(A$1:A1)+SUM(C$1:C1)+SUM(I$1:I1)+SUM(K$1:K1))/(SUM(A$1:D1)+SUM(I$1:L1))</f>
        <v>4.5086275194105007E-5</v>
      </c>
      <c r="F16" t="s">
        <v>11</v>
      </c>
      <c r="G16">
        <f>(SUM(E$1:E1)+SUM(G$1:G1)+SUM(M$1:M1)+SUM(O$1:O1))/(SUM(E$1:H1)+SUM(M$1:P1))</f>
        <v>1.4136861714620247E-4</v>
      </c>
    </row>
    <row r="17" spans="1:13" x14ac:dyDescent="0.25">
      <c r="B17" t="s">
        <v>8</v>
      </c>
      <c r="C17">
        <f>(C14-C15)/((C16*(1-C16)*(1/$D3+1/$H3))^(1/2))</f>
        <v>2.0784689946065118</v>
      </c>
      <c r="F17" t="s">
        <v>8</v>
      </c>
      <c r="G17">
        <f>(G14-G15)/((G16*(1-G16)*(1/$D3+1/$H3))^(1/2))</f>
        <v>1.3474829209004362</v>
      </c>
    </row>
    <row r="18" spans="1:13" x14ac:dyDescent="0.25">
      <c r="B18" t="s">
        <v>9</v>
      </c>
      <c r="C18">
        <f>(1-_xlfn.NORM.DIST(ABS(C17),0,1,TRUE))*2</f>
        <v>3.7666183757112615E-2</v>
      </c>
      <c r="F18" t="s">
        <v>9</v>
      </c>
      <c r="G18">
        <f>(1-_xlfn.NORM.DIST(ABS(G17),0,1,TRUE))*2</f>
        <v>0.17782475040462886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0.50013284310264616</v>
      </c>
      <c r="J24" t="s">
        <v>7</v>
      </c>
      <c r="K24">
        <f>SUM(A$1:D1)/(SUM(A$1:D1)+SUM(I$1:L1))</f>
        <v>0.50018831414195764</v>
      </c>
    </row>
    <row r="25" spans="1:13" x14ac:dyDescent="0.25">
      <c r="B25" t="s">
        <v>10</v>
      </c>
      <c r="C25">
        <f>SUM(I$1:L1)/SUM(I$1:P1)</f>
        <v>0.49993279339793439</v>
      </c>
      <c r="J25" t="s">
        <v>10</v>
      </c>
      <c r="K25">
        <f>SUM(E$1:H1)/(SUM(E$1:H1)+SUM(M$1:P1))</f>
        <v>0.49998826444262157</v>
      </c>
    </row>
    <row r="26" spans="1:13" x14ac:dyDescent="0.25">
      <c r="B26" t="s">
        <v>11</v>
      </c>
      <c r="C26">
        <f>(SUM(A$1:D1)+SUM(I$1:L1))/SUM(A$1:P1)</f>
        <v>0.50003283591385128</v>
      </c>
      <c r="J26" t="s">
        <v>11</v>
      </c>
      <c r="K26">
        <f>(SUM(A$1:D1)+SUM(E$1:H1))/SUM(A$1:P1)</f>
        <v>0.50008829586110426</v>
      </c>
    </row>
    <row r="27" spans="1:13" x14ac:dyDescent="0.25">
      <c r="B27" t="s">
        <v>8</v>
      </c>
      <c r="C27">
        <f>(C24-C25)/((C26*(1-C26)*(1/SUM(A$1:H1)+1/SUM(I$1:P1)))^(1/2))</f>
        <v>2.0696415223721072</v>
      </c>
      <c r="J27" t="s">
        <v>8</v>
      </c>
      <c r="K27">
        <f>(K24-K25)/((K26*(1-K26)*(1/(SUM(A$1:D1)+SUM(I$1:L1))+1/(SUM(E$1:H1)+SUM(M$1:P1))))^(1/2))</f>
        <v>2.0696415223721618</v>
      </c>
    </row>
    <row r="28" spans="1:13" x14ac:dyDescent="0.25">
      <c r="B28" t="s">
        <v>9</v>
      </c>
      <c r="C28">
        <f>(1-_xlfn.NORM.DIST(ABS(C27),0,1,TRUE))*2</f>
        <v>3.8485926647037427E-2</v>
      </c>
      <c r="J28" t="s">
        <v>9</v>
      </c>
      <c r="K28">
        <f>(1-_xlfn.NORM.DIST(ABS(K27),0,1,TRUE))*2</f>
        <v>3.848592664703232E-2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0.50008829586110426</v>
      </c>
      <c r="E32">
        <f>(D32-1/2)*2*((SUM(A$1:P1))^(1/2))</f>
        <v>1.8269537874455692</v>
      </c>
      <c r="F32">
        <f>(1-_xlfn.NORM.DIST(ABS(E32),0,1,TRUE))*2</f>
        <v>6.770671797864436E-2</v>
      </c>
      <c r="I32" t="s">
        <v>21</v>
      </c>
      <c r="K32">
        <f>(SUM(A$1:D1)+SUM(I$1:L1))/SUM(A$1:P1)</f>
        <v>0.50003283591385128</v>
      </c>
      <c r="L32">
        <f>(K32-1/2)*2*((SUM(A$1:P1))^(1/2))</f>
        <v>0.67941686534999746</v>
      </c>
      <c r="M32">
        <f>(1-_xlfn.NORM.DIST(ABS(L32),0,1,TRUE))*2</f>
        <v>0.49687376669093597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2348</v>
      </c>
      <c r="B1">
        <v>1128</v>
      </c>
      <c r="C1">
        <v>1397</v>
      </c>
      <c r="D1">
        <v>26765012</v>
      </c>
      <c r="E1">
        <v>2421</v>
      </c>
      <c r="F1">
        <v>1082</v>
      </c>
      <c r="G1">
        <v>9032</v>
      </c>
      <c r="H1">
        <v>26743129</v>
      </c>
      <c r="I1">
        <v>2337</v>
      </c>
      <c r="J1">
        <v>8326</v>
      </c>
      <c r="K1">
        <v>1181</v>
      </c>
      <c r="L1">
        <v>26737884</v>
      </c>
      <c r="M1">
        <v>30</v>
      </c>
      <c r="N1">
        <v>10557</v>
      </c>
      <c r="O1">
        <v>11224</v>
      </c>
      <c r="P1">
        <v>26735109</v>
      </c>
    </row>
    <row r="3" spans="1:16" x14ac:dyDescent="0.25">
      <c r="C3" t="s">
        <v>0</v>
      </c>
      <c r="D3">
        <f>SUM(A$1:D1)</f>
        <v>26769885</v>
      </c>
      <c r="G3" t="s">
        <v>1</v>
      </c>
      <c r="H3">
        <f>SUM(E$1:H1)</f>
        <v>26755664</v>
      </c>
      <c r="K3" t="s">
        <v>2</v>
      </c>
      <c r="L3">
        <f>SUM(I$1:L1)</f>
        <v>26749728</v>
      </c>
      <c r="O3" t="s">
        <v>3</v>
      </c>
      <c r="P3">
        <f>SUM(M$1:P1)</f>
        <v>26756920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1.2984740128693119E-4</v>
      </c>
      <c r="E8" t="s">
        <v>8</v>
      </c>
      <c r="F8" t="s">
        <v>9</v>
      </c>
      <c r="J8" t="s">
        <v>7</v>
      </c>
      <c r="K8">
        <f>SUM(I$1:J1)/SUM(I$1:L1)</f>
        <v>3.9862087569638089E-4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1.3092554907252535E-4</v>
      </c>
      <c r="E9">
        <f>(C8-C9)/((C10*(1-C10)*(1/$D3+1/$H3))^(1/2))</f>
        <v>-0.34541494996563743</v>
      </c>
      <c r="F9">
        <f>(1-_xlfn.NORM.DIST(ABS(E9),0,1,TRUE))*2</f>
        <v>0.72978243958207223</v>
      </c>
      <c r="J9" t="s">
        <v>10</v>
      </c>
      <c r="K9">
        <f>SUM(M$1:N1)/SUM(M$1:P1)</f>
        <v>3.9567334356869176E-4</v>
      </c>
      <c r="M9">
        <f>(K8-K9)/((K10*(1-K10)*(1/$D3+1/$H3))^(1/2))</f>
        <v>0.54115261757352595</v>
      </c>
      <c r="N9">
        <f>(1-_xlfn.NORM.DIST(ABS(M9),0,1,TRUE))*2</f>
        <v>0.58840239335381339</v>
      </c>
    </row>
    <row r="10" spans="1:16" x14ac:dyDescent="0.25">
      <c r="B10" t="s">
        <v>11</v>
      </c>
      <c r="C10">
        <f>(SUM(A$1:B1)+SUM(E$1:F1))/SUM(A$1:H1)</f>
        <v>1.3038633195523131E-4</v>
      </c>
      <c r="J10" t="s">
        <v>11</v>
      </c>
      <c r="K10">
        <f>(SUM(I$1:J1)+SUM(M$1:N1))/SUM(I$1:P1)</f>
        <v>3.9714691153891756E-4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1.3989600627720291E-4</v>
      </c>
      <c r="F14" t="s">
        <v>7</v>
      </c>
      <c r="G14">
        <f>(SUM(E$1:E1)+SUM(G$1:G1))/SUM(E$1:H1)</f>
        <v>4.2805889623968965E-4</v>
      </c>
    </row>
    <row r="15" spans="1:16" x14ac:dyDescent="0.25">
      <c r="B15" t="s">
        <v>10</v>
      </c>
      <c r="C15">
        <f>(SUM(I$1:I1)+SUM(K$1:K1))/SUM(I$1:L1)</f>
        <v>1.3151535596922704E-4</v>
      </c>
      <c r="F15" t="s">
        <v>10</v>
      </c>
      <c r="G15">
        <f>(SUM(M$1:M1)+SUM(O$1:O1))/SUM(M$1:P1)</f>
        <v>4.2060147431019712E-4</v>
      </c>
    </row>
    <row r="16" spans="1:16" x14ac:dyDescent="0.25">
      <c r="B16" t="s">
        <v>11</v>
      </c>
      <c r="C16">
        <f>(SUM(A$1:A1)+SUM(C$1:C1)+SUM(I$1:I1)+SUM(K$1:K1))/(SUM(A$1:D1)+SUM(I$1:L1))</f>
        <v>1.3570725931818676E-4</v>
      </c>
      <c r="F16" t="s">
        <v>11</v>
      </c>
      <c r="G16">
        <f>(SUM(E$1:E1)+SUM(G$1:G1)+SUM(M$1:M1)+SUM(O$1:O1))/(SUM(E$1:H1)+SUM(M$1:P1))</f>
        <v>4.2433009775794047E-4</v>
      </c>
    </row>
    <row r="17" spans="1:13" x14ac:dyDescent="0.25">
      <c r="B17" t="s">
        <v>8</v>
      </c>
      <c r="C17">
        <f>(C14-C15)/((C16*(1-C16)*(1/$D3+1/$H3))^(1/2))</f>
        <v>2.6318201301672506</v>
      </c>
      <c r="F17" t="s">
        <v>8</v>
      </c>
      <c r="G17">
        <f>(G14-G15)/((G16*(1-G16)*(1/$D3+1/$H3))^(1/2))</f>
        <v>1.3245840241572213</v>
      </c>
    </row>
    <row r="18" spans="1:13" x14ac:dyDescent="0.25">
      <c r="B18" t="s">
        <v>9</v>
      </c>
      <c r="C18">
        <f>(1-_xlfn.NORM.DIST(ABS(C17),0,1,TRUE))*2</f>
        <v>8.4928812929048192E-3</v>
      </c>
      <c r="F18" t="s">
        <v>9</v>
      </c>
      <c r="G18">
        <f>(1-_xlfn.NORM.DIST(ABS(G17),0,1,TRUE))*2</f>
        <v>0.1853091575538619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0.50013284310264616</v>
      </c>
      <c r="J24" t="s">
        <v>7</v>
      </c>
      <c r="K24">
        <f>SUM(A$1:D1)/(SUM(A$1:D1)+SUM(I$1:L1))</f>
        <v>0.50018831414195764</v>
      </c>
    </row>
    <row r="25" spans="1:13" x14ac:dyDescent="0.25">
      <c r="B25" t="s">
        <v>10</v>
      </c>
      <c r="C25">
        <f>SUM(I$1:L1)/SUM(I$1:P1)</f>
        <v>0.49993279339793439</v>
      </c>
      <c r="J25" t="s">
        <v>10</v>
      </c>
      <c r="K25">
        <f>SUM(E$1:H1)/(SUM(E$1:H1)+SUM(M$1:P1))</f>
        <v>0.49998826444262157</v>
      </c>
    </row>
    <row r="26" spans="1:13" x14ac:dyDescent="0.25">
      <c r="B26" t="s">
        <v>11</v>
      </c>
      <c r="C26">
        <f>(SUM(A$1:D1)+SUM(I$1:L1))/SUM(A$1:P1)</f>
        <v>0.50003283591385128</v>
      </c>
      <c r="J26" t="s">
        <v>11</v>
      </c>
      <c r="K26">
        <f>(SUM(A$1:D1)+SUM(E$1:H1))/SUM(A$1:P1)</f>
        <v>0.50008829586110426</v>
      </c>
    </row>
    <row r="27" spans="1:13" x14ac:dyDescent="0.25">
      <c r="B27" t="s">
        <v>8</v>
      </c>
      <c r="C27">
        <f>(C24-C25)/((C26*(1-C26)*(1/SUM(A$1:H1)+1/SUM(I$1:P1)))^(1/2))</f>
        <v>2.0696415223721072</v>
      </c>
      <c r="J27" t="s">
        <v>8</v>
      </c>
      <c r="K27">
        <f>(K24-K25)/((K26*(1-K26)*(1/(SUM(A$1:D1)+SUM(I$1:L1))+1/(SUM(E$1:H1)+SUM(M$1:P1))))^(1/2))</f>
        <v>2.0696415223721618</v>
      </c>
    </row>
    <row r="28" spans="1:13" x14ac:dyDescent="0.25">
      <c r="B28" t="s">
        <v>9</v>
      </c>
      <c r="C28">
        <f>(1-_xlfn.NORM.DIST(ABS(C27),0,1,TRUE))*2</f>
        <v>3.8485926647037427E-2</v>
      </c>
      <c r="J28" t="s">
        <v>9</v>
      </c>
      <c r="K28">
        <f>(1-_xlfn.NORM.DIST(ABS(K27),0,1,TRUE))*2</f>
        <v>3.848592664703232E-2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0.50008829586110426</v>
      </c>
      <c r="E32">
        <f>(D32-1/2)*2*((SUM(A$1:P1))^(1/2))</f>
        <v>1.8269537874455692</v>
      </c>
      <c r="F32">
        <f>(1-_xlfn.NORM.DIST(ABS(E32),0,1,TRUE))*2</f>
        <v>6.770671797864436E-2</v>
      </c>
      <c r="I32" t="s">
        <v>21</v>
      </c>
      <c r="K32">
        <f>(SUM(A$1:D1)+SUM(I$1:L1))/SUM(A$1:P1)</f>
        <v>0.50003283591385128</v>
      </c>
      <c r="L32">
        <f>(K32-1/2)*2*((SUM(A$1:P1))^(1/2))</f>
        <v>0.67941686534999746</v>
      </c>
      <c r="M32">
        <f>(1-_xlfn.NORM.DIST(ABS(L32),0,1,TRUE))*2</f>
        <v>0.49687376669093597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3953</v>
      </c>
      <c r="B1">
        <v>1831</v>
      </c>
      <c r="C1">
        <v>2247</v>
      </c>
      <c r="D1">
        <v>26761854</v>
      </c>
      <c r="E1">
        <v>3989</v>
      </c>
      <c r="F1">
        <v>1801</v>
      </c>
      <c r="G1">
        <v>15086</v>
      </c>
      <c r="H1">
        <v>26734788</v>
      </c>
      <c r="I1">
        <v>3986</v>
      </c>
      <c r="J1">
        <v>13826</v>
      </c>
      <c r="K1">
        <v>1939</v>
      </c>
      <c r="L1">
        <v>26729977</v>
      </c>
      <c r="M1">
        <v>54</v>
      </c>
      <c r="N1">
        <v>17622</v>
      </c>
      <c r="O1">
        <v>18797</v>
      </c>
      <c r="P1">
        <v>26720447</v>
      </c>
    </row>
    <row r="3" spans="1:16" x14ac:dyDescent="0.25">
      <c r="C3" t="s">
        <v>0</v>
      </c>
      <c r="D3">
        <f>SUM(A$1:D1)</f>
        <v>26769885</v>
      </c>
      <c r="G3" t="s">
        <v>1</v>
      </c>
      <c r="H3">
        <f>SUM(E$1:H1)</f>
        <v>26755664</v>
      </c>
      <c r="K3" t="s">
        <v>2</v>
      </c>
      <c r="L3">
        <f>SUM(I$1:L1)</f>
        <v>26749728</v>
      </c>
      <c r="O3" t="s">
        <v>3</v>
      </c>
      <c r="P3">
        <f>SUM(M$1:P1)</f>
        <v>26756920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2.1606368499528481E-4</v>
      </c>
      <c r="E8" t="s">
        <v>8</v>
      </c>
      <c r="F8" t="s">
        <v>9</v>
      </c>
      <c r="J8" t="s">
        <v>7</v>
      </c>
      <c r="K8">
        <f>SUM(I$1:J1)/SUM(I$1:L1)</f>
        <v>6.6587592965431275E-4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2.1640277737080269E-4</v>
      </c>
      <c r="E9">
        <f>(C8-C9)/((C10*(1-C10)*(1/$D3+1/$H3))^(1/2))</f>
        <v>-8.4363456424699515E-2</v>
      </c>
      <c r="F9">
        <f>(1-_xlfn.NORM.DIST(ABS(E9),0,1,TRUE))*2</f>
        <v>0.9327674612218031</v>
      </c>
      <c r="J9" t="s">
        <v>10</v>
      </c>
      <c r="K9">
        <f>SUM(M$1:N1)/SUM(M$1:P1)</f>
        <v>6.6061415140457119E-4</v>
      </c>
      <c r="M9">
        <f>(K8-K9)/((K10*(1-K10)*(1/$D3+1/$H3))^(1/2))</f>
        <v>0.74763612066929808</v>
      </c>
      <c r="N9">
        <f>(1-_xlfn.NORM.DIST(ABS(M9),0,1,TRUE))*2</f>
        <v>0.45467967132550369</v>
      </c>
    </row>
    <row r="10" spans="1:16" x14ac:dyDescent="0.25">
      <c r="B10" t="s">
        <v>11</v>
      </c>
      <c r="C10">
        <f>(SUM(A$1:B1)+SUM(E$1:F1))/SUM(A$1:H1)</f>
        <v>2.162331861369605E-4</v>
      </c>
      <c r="J10" t="s">
        <v>11</v>
      </c>
      <c r="K10">
        <f>(SUM(I$1:J1)+SUM(M$1:N1))/SUM(I$1:P1)</f>
        <v>6.6324468690320501E-4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2.316035350917645E-4</v>
      </c>
      <c r="F14" t="s">
        <v>7</v>
      </c>
      <c r="G14">
        <f>(SUM(E$1:E1)+SUM(G$1:G1))/SUM(E$1:H1)</f>
        <v>7.1293315688222131E-4</v>
      </c>
    </row>
    <row r="15" spans="1:16" x14ac:dyDescent="0.25">
      <c r="B15" t="s">
        <v>10</v>
      </c>
      <c r="C15">
        <f>(SUM(I$1:I1)+SUM(K$1:K1))/SUM(I$1:L1)</f>
        <v>2.2149757933987216E-4</v>
      </c>
      <c r="F15" t="s">
        <v>10</v>
      </c>
      <c r="G15">
        <f>(SUM(M$1:M1)+SUM(O$1:O1))/SUM(M$1:P1)</f>
        <v>7.0452802489972687E-4</v>
      </c>
    </row>
    <row r="16" spans="1:16" x14ac:dyDescent="0.25">
      <c r="B16" t="s">
        <v>11</v>
      </c>
      <c r="C16">
        <f>(SUM(A$1:A1)+SUM(C$1:C1)+SUM(I$1:I1)+SUM(K$1:K1))/(SUM(A$1:D1)+SUM(I$1:L1))</f>
        <v>2.265524603102044E-4</v>
      </c>
      <c r="F16" t="s">
        <v>11</v>
      </c>
      <c r="G16">
        <f>(SUM(E$1:E1)+SUM(G$1:G1)+SUM(M$1:M1)+SUM(O$1:O1))/(SUM(E$1:H1)+SUM(M$1:P1))</f>
        <v>7.0873049225206547E-4</v>
      </c>
    </row>
    <row r="17" spans="1:13" x14ac:dyDescent="0.25">
      <c r="B17" t="s">
        <v>8</v>
      </c>
      <c r="C17">
        <f>(C14-C15)/((C16*(1-C16)*(1/$D3+1/$H3))^(1/2))</f>
        <v>2.456364181959489</v>
      </c>
      <c r="F17" t="s">
        <v>8</v>
      </c>
      <c r="G17">
        <f>(G14-G15)/((G16*(1-G16)*(1/$D3+1/$H3))^(1/2))</f>
        <v>1.1553364786133526</v>
      </c>
    </row>
    <row r="18" spans="1:13" x14ac:dyDescent="0.25">
      <c r="B18" t="s">
        <v>9</v>
      </c>
      <c r="C18">
        <f>(1-_xlfn.NORM.DIST(ABS(C17),0,1,TRUE))*2</f>
        <v>1.4035084396121666E-2</v>
      </c>
      <c r="F18" t="s">
        <v>9</v>
      </c>
      <c r="G18">
        <f>(1-_xlfn.NORM.DIST(ABS(G17),0,1,TRUE))*2</f>
        <v>0.24795266324760346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0.50013284310264616</v>
      </c>
      <c r="J24" t="s">
        <v>7</v>
      </c>
      <c r="K24">
        <f>SUM(A$1:D1)/(SUM(A$1:D1)+SUM(I$1:L1))</f>
        <v>0.50018831414195764</v>
      </c>
    </row>
    <row r="25" spans="1:13" x14ac:dyDescent="0.25">
      <c r="B25" t="s">
        <v>10</v>
      </c>
      <c r="C25">
        <f>SUM(I$1:L1)/SUM(I$1:P1)</f>
        <v>0.49993279339793439</v>
      </c>
      <c r="J25" t="s">
        <v>10</v>
      </c>
      <c r="K25">
        <f>SUM(E$1:H1)/(SUM(E$1:H1)+SUM(M$1:P1))</f>
        <v>0.49998826444262157</v>
      </c>
    </row>
    <row r="26" spans="1:13" x14ac:dyDescent="0.25">
      <c r="B26" t="s">
        <v>11</v>
      </c>
      <c r="C26">
        <f>(SUM(A$1:D1)+SUM(I$1:L1))/SUM(A$1:P1)</f>
        <v>0.50003283591385128</v>
      </c>
      <c r="J26" t="s">
        <v>11</v>
      </c>
      <c r="K26">
        <f>(SUM(A$1:D1)+SUM(E$1:H1))/SUM(A$1:P1)</f>
        <v>0.50008829586110426</v>
      </c>
    </row>
    <row r="27" spans="1:13" x14ac:dyDescent="0.25">
      <c r="B27" t="s">
        <v>8</v>
      </c>
      <c r="C27">
        <f>(C24-C25)/((C26*(1-C26)*(1/SUM(A$1:H1)+1/SUM(I$1:P1)))^(1/2))</f>
        <v>2.0696415223721072</v>
      </c>
      <c r="J27" t="s">
        <v>8</v>
      </c>
      <c r="K27">
        <f>(K24-K25)/((K26*(1-K26)*(1/(SUM(A$1:D1)+SUM(I$1:L1))+1/(SUM(E$1:H1)+SUM(M$1:P1))))^(1/2))</f>
        <v>2.0696415223721618</v>
      </c>
    </row>
    <row r="28" spans="1:13" x14ac:dyDescent="0.25">
      <c r="B28" t="s">
        <v>9</v>
      </c>
      <c r="C28">
        <f>(1-_xlfn.NORM.DIST(ABS(C27),0,1,TRUE))*2</f>
        <v>3.8485926647037427E-2</v>
      </c>
      <c r="J28" t="s">
        <v>9</v>
      </c>
      <c r="K28">
        <f>(1-_xlfn.NORM.DIST(ABS(K27),0,1,TRUE))*2</f>
        <v>3.848592664703232E-2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0.50008829586110426</v>
      </c>
      <c r="E32">
        <f>(D32-1/2)*2*((SUM(A$1:P1))^(1/2))</f>
        <v>1.8269537874455692</v>
      </c>
      <c r="F32">
        <f>(1-_xlfn.NORM.DIST(ABS(E32),0,1,TRUE))*2</f>
        <v>6.770671797864436E-2</v>
      </c>
      <c r="I32" t="s">
        <v>21</v>
      </c>
      <c r="K32">
        <f>(SUM(A$1:D1)+SUM(I$1:L1))/SUM(A$1:P1)</f>
        <v>0.50003283591385128</v>
      </c>
      <c r="L32">
        <f>(K32-1/2)*2*((SUM(A$1:P1))^(1/2))</f>
        <v>0.67941686534999746</v>
      </c>
      <c r="M32">
        <f>(1-_xlfn.NORM.DIST(ABS(L32),0,1,TRUE))*2</f>
        <v>0.49687376669093597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5526</v>
      </c>
      <c r="B1">
        <v>2590</v>
      </c>
      <c r="C1">
        <v>3083</v>
      </c>
      <c r="D1">
        <v>26758686</v>
      </c>
      <c r="E1">
        <v>5504</v>
      </c>
      <c r="F1">
        <v>2545</v>
      </c>
      <c r="G1">
        <v>21121</v>
      </c>
      <c r="H1">
        <v>26726494</v>
      </c>
      <c r="I1">
        <v>5621</v>
      </c>
      <c r="J1">
        <v>19252</v>
      </c>
      <c r="K1">
        <v>2683</v>
      </c>
      <c r="L1">
        <v>26722172</v>
      </c>
      <c r="M1">
        <v>86</v>
      </c>
      <c r="N1">
        <v>24706</v>
      </c>
      <c r="O1">
        <v>26412</v>
      </c>
      <c r="P1">
        <v>26705716</v>
      </c>
    </row>
    <row r="3" spans="1:16" x14ac:dyDescent="0.25">
      <c r="C3" t="s">
        <v>0</v>
      </c>
      <c r="D3">
        <f>SUM(A$1:D1)</f>
        <v>26769885</v>
      </c>
      <c r="G3" t="s">
        <v>1</v>
      </c>
      <c r="H3">
        <f>SUM(E$1:H1)</f>
        <v>26755664</v>
      </c>
      <c r="K3" t="s">
        <v>2</v>
      </c>
      <c r="L3">
        <f>SUM(I$1:L1)</f>
        <v>26749728</v>
      </c>
      <c r="O3" t="s">
        <v>3</v>
      </c>
      <c r="P3">
        <f>SUM(M$1:P1)</f>
        <v>26756920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3.0317649851689687E-4</v>
      </c>
      <c r="E8" t="s">
        <v>8</v>
      </c>
      <c r="F8" t="s">
        <v>9</v>
      </c>
      <c r="J8" t="s">
        <v>7</v>
      </c>
      <c r="K8">
        <f>SUM(I$1:J1)/SUM(I$1:L1)</f>
        <v>9.2984123053512923E-4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3.0083349828283087E-4</v>
      </c>
      <c r="E9">
        <f>(C8-C9)/((C10*(1-C10)*(1/$D3+1/$H3))^(1/2))</f>
        <v>0.49326600589889685</v>
      </c>
      <c r="F9">
        <f>(1-_xlfn.NORM.DIST(ABS(E9),0,1,TRUE))*2</f>
        <v>0.62182464465562304</v>
      </c>
      <c r="J9" t="s">
        <v>10</v>
      </c>
      <c r="K9">
        <f>SUM(M$1:N1)/SUM(M$1:P1)</f>
        <v>9.2656404399310533E-4</v>
      </c>
      <c r="M9">
        <f>(K8-K9)/((K10*(1-K10)*(1/$D3+1/$H3))^(1/2))</f>
        <v>0.3936697275643915</v>
      </c>
      <c r="N9">
        <f>(1-_xlfn.NORM.DIST(ABS(M9),0,1,TRUE))*2</f>
        <v>0.69382489418215987</v>
      </c>
    </row>
    <row r="10" spans="1:16" x14ac:dyDescent="0.25">
      <c r="B10" t="s">
        <v>11</v>
      </c>
      <c r="C10">
        <f>(SUM(A$1:B1)+SUM(E$1:F1))/SUM(A$1:H1)</f>
        <v>3.0200530965128448E-4</v>
      </c>
      <c r="J10" t="s">
        <v>11</v>
      </c>
      <c r="K10">
        <f>(SUM(I$1:J1)+SUM(M$1:N1))/SUM(I$1:P1)</f>
        <v>9.282024170155454E-4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3.2159271509758075E-4</v>
      </c>
      <c r="F14" t="s">
        <v>7</v>
      </c>
      <c r="G14">
        <f>(SUM(E$1:E1)+SUM(G$1:G1))/SUM(E$1:H1)</f>
        <v>9.9511639853154077E-4</v>
      </c>
    </row>
    <row r="15" spans="1:16" x14ac:dyDescent="0.25">
      <c r="B15" t="s">
        <v>10</v>
      </c>
      <c r="C15">
        <f>(SUM(I$1:I1)+SUM(K$1:K1))/SUM(I$1:L1)</f>
        <v>3.1043306309507147E-4</v>
      </c>
      <c r="F15" t="s">
        <v>10</v>
      </c>
      <c r="G15">
        <f>(SUM(M$1:M1)+SUM(O$1:O1))/SUM(M$1:P1)</f>
        <v>9.9032325095713548E-4</v>
      </c>
    </row>
    <row r="16" spans="1:16" x14ac:dyDescent="0.25">
      <c r="B16" t="s">
        <v>11</v>
      </c>
      <c r="C16">
        <f>(SUM(A$1:A1)+SUM(C$1:C1)+SUM(I$1:I1)+SUM(K$1:K1))/(SUM(A$1:D1)+SUM(I$1:L1))</f>
        <v>3.1601499061661748E-4</v>
      </c>
      <c r="F16" t="s">
        <v>11</v>
      </c>
      <c r="G16">
        <f>(SUM(E$1:E1)+SUM(G$1:G1)+SUM(M$1:M1)+SUM(O$1:O1))/(SUM(E$1:H1)+SUM(M$1:P1))</f>
        <v>9.9271976849407977E-4</v>
      </c>
    </row>
    <row r="17" spans="1:13" x14ac:dyDescent="0.25">
      <c r="B17" t="s">
        <v>8</v>
      </c>
      <c r="C17">
        <f>(C14-C15)/((C16*(1-C16)*(1/$D3+1/$H3))^(1/2))</f>
        <v>2.2967620130315436</v>
      </c>
      <c r="F17" t="s">
        <v>8</v>
      </c>
      <c r="G17">
        <f>(G14-G15)/((G16*(1-G16)*(1/$D3+1/$H3))^(1/2))</f>
        <v>0.55676726492278206</v>
      </c>
    </row>
    <row r="18" spans="1:13" x14ac:dyDescent="0.25">
      <c r="B18" t="s">
        <v>9</v>
      </c>
      <c r="C18">
        <f>(1-_xlfn.NORM.DIST(ABS(C17),0,1,TRUE))*2</f>
        <v>2.1632349670018147E-2</v>
      </c>
      <c r="F18" t="s">
        <v>9</v>
      </c>
      <c r="G18">
        <f>(1-_xlfn.NORM.DIST(ABS(G17),0,1,TRUE))*2</f>
        <v>0.57768645233484639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0.50013284310264616</v>
      </c>
      <c r="J24" t="s">
        <v>7</v>
      </c>
      <c r="K24">
        <f>SUM(A$1:D1)/(SUM(A$1:D1)+SUM(I$1:L1))</f>
        <v>0.50018831414195764</v>
      </c>
    </row>
    <row r="25" spans="1:13" x14ac:dyDescent="0.25">
      <c r="B25" t="s">
        <v>10</v>
      </c>
      <c r="C25">
        <f>SUM(I$1:L1)/SUM(I$1:P1)</f>
        <v>0.49993279339793439</v>
      </c>
      <c r="J25" t="s">
        <v>10</v>
      </c>
      <c r="K25">
        <f>SUM(E$1:H1)/(SUM(E$1:H1)+SUM(M$1:P1))</f>
        <v>0.49998826444262157</v>
      </c>
    </row>
    <row r="26" spans="1:13" x14ac:dyDescent="0.25">
      <c r="B26" t="s">
        <v>11</v>
      </c>
      <c r="C26">
        <f>(SUM(A$1:D1)+SUM(I$1:L1))/SUM(A$1:P1)</f>
        <v>0.50003283591385128</v>
      </c>
      <c r="J26" t="s">
        <v>11</v>
      </c>
      <c r="K26">
        <f>(SUM(A$1:D1)+SUM(E$1:H1))/SUM(A$1:P1)</f>
        <v>0.50008829586110426</v>
      </c>
    </row>
    <row r="27" spans="1:13" x14ac:dyDescent="0.25">
      <c r="B27" t="s">
        <v>8</v>
      </c>
      <c r="C27">
        <f>(C24-C25)/((C26*(1-C26)*(1/SUM(A$1:H1)+1/SUM(I$1:P1)))^(1/2))</f>
        <v>2.0696415223721072</v>
      </c>
      <c r="J27" t="s">
        <v>8</v>
      </c>
      <c r="K27">
        <f>(K24-K25)/((K26*(1-K26)*(1/(SUM(A$1:D1)+SUM(I$1:L1))+1/(SUM(E$1:H1)+SUM(M$1:P1))))^(1/2))</f>
        <v>2.0696415223721618</v>
      </c>
    </row>
    <row r="28" spans="1:13" x14ac:dyDescent="0.25">
      <c r="B28" t="s">
        <v>9</v>
      </c>
      <c r="C28">
        <f>(1-_xlfn.NORM.DIST(ABS(C27),0,1,TRUE))*2</f>
        <v>3.8485926647037427E-2</v>
      </c>
      <c r="J28" t="s">
        <v>9</v>
      </c>
      <c r="K28">
        <f>(1-_xlfn.NORM.DIST(ABS(K27),0,1,TRUE))*2</f>
        <v>3.848592664703232E-2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0.50008829586110426</v>
      </c>
      <c r="E32">
        <f>(D32-1/2)*2*((SUM(A$1:P1))^(1/2))</f>
        <v>1.8269537874455692</v>
      </c>
      <c r="F32">
        <f>(1-_xlfn.NORM.DIST(ABS(E32),0,1,TRUE))*2</f>
        <v>6.770671797864436E-2</v>
      </c>
      <c r="I32" t="s">
        <v>21</v>
      </c>
      <c r="K32">
        <f>(SUM(A$1:D1)+SUM(I$1:L1))/SUM(A$1:P1)</f>
        <v>0.50003283591385128</v>
      </c>
      <c r="L32">
        <f>(K32-1/2)*2*((SUM(A$1:P1))^(1/2))</f>
        <v>0.67941686534999746</v>
      </c>
      <c r="M32">
        <f>(1-_xlfn.NORM.DIST(ABS(L32),0,1,TRUE))*2</f>
        <v>0.49687376669093597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R3" sqref="R3"/>
    </sheetView>
  </sheetViews>
  <sheetFormatPr defaultRowHeight="15" x14ac:dyDescent="0.25"/>
  <cols>
    <col min="18" max="18" width="19" customWidth="1"/>
  </cols>
  <sheetData>
    <row r="1" spans="1:18" x14ac:dyDescent="0.25">
      <c r="A1">
        <v>7095</v>
      </c>
      <c r="B1">
        <v>3332</v>
      </c>
      <c r="C1">
        <v>3903</v>
      </c>
      <c r="D1">
        <v>26755555</v>
      </c>
      <c r="E1">
        <v>7058</v>
      </c>
      <c r="F1">
        <v>3247</v>
      </c>
      <c r="G1">
        <v>26961</v>
      </c>
      <c r="H1">
        <v>26718398</v>
      </c>
      <c r="I1">
        <v>7210</v>
      </c>
      <c r="J1">
        <v>24806</v>
      </c>
      <c r="K1">
        <v>3435</v>
      </c>
      <c r="L1">
        <v>26714277</v>
      </c>
      <c r="M1">
        <v>122</v>
      </c>
      <c r="N1">
        <v>31899</v>
      </c>
      <c r="O1">
        <v>33928</v>
      </c>
      <c r="P1">
        <v>26690971</v>
      </c>
    </row>
    <row r="3" spans="1:18" x14ac:dyDescent="0.25">
      <c r="C3" t="s">
        <v>0</v>
      </c>
      <c r="D3">
        <f>SUM(A$1:D1)</f>
        <v>26769885</v>
      </c>
      <c r="G3" t="s">
        <v>1</v>
      </c>
      <c r="H3">
        <f>SUM(E$1:H1)</f>
        <v>26755664</v>
      </c>
      <c r="K3" t="s">
        <v>2</v>
      </c>
      <c r="L3">
        <f>SUM(I$1:L1)</f>
        <v>26749728</v>
      </c>
      <c r="O3" t="s">
        <v>3</v>
      </c>
      <c r="P3">
        <f>SUM(M$1:P1)</f>
        <v>26756920</v>
      </c>
      <c r="R3">
        <f>D3+H3+L3+P3</f>
        <v>107032197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3.8950484845190779E-4</v>
      </c>
      <c r="E8" t="s">
        <v>8</v>
      </c>
      <c r="F8" t="s">
        <v>9</v>
      </c>
      <c r="J8" t="s">
        <v>7</v>
      </c>
      <c r="K8">
        <f>SUM(I$1:J1)/SUM(I$1:L1)</f>
        <v>1.1968719831468942E-3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3.8515209340347526E-4</v>
      </c>
      <c r="E9">
        <f>(C8-C9)/((C10*(1-C10)*(1/$D3+1/$H3))^(1/2))</f>
        <v>0.80920558400239706</v>
      </c>
      <c r="F9">
        <f>(1-_xlfn.NORM.DIST(ABS(E9),0,1,TRUE))*2</f>
        <v>0.41839690352428427</v>
      </c>
      <c r="J9" t="s">
        <v>10</v>
      </c>
      <c r="K9">
        <f>SUM(M$1:N1)/SUM(M$1:P1)</f>
        <v>1.196737143139046E-3</v>
      </c>
      <c r="M9">
        <f>(K8-K9)/((K10*(1-K10)*(1/$D3+1/$H3))^(1/2))</f>
        <v>1.4266510003632618E-2</v>
      </c>
      <c r="N9">
        <f>(1-_xlfn.NORM.DIST(ABS(M9),0,1,TRUE))*2</f>
        <v>0.98861735805733231</v>
      </c>
    </row>
    <row r="10" spans="1:18" x14ac:dyDescent="0.25">
      <c r="B10" t="s">
        <v>11</v>
      </c>
      <c r="C10">
        <f>(SUM(A$1:B1)+SUM(E$1:F1))/SUM(A$1:H1)</f>
        <v>3.873290491611772E-4</v>
      </c>
      <c r="J10" t="s">
        <v>11</v>
      </c>
      <c r="K10">
        <f>(SUM(I$1:J1)+SUM(M$1:N1))/SUM(I$1:P1)</f>
        <v>1.1968045540808312E-3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4.1083478692568158E-4</v>
      </c>
      <c r="F14" t="s">
        <v>7</v>
      </c>
      <c r="G14">
        <f>(SUM(E$1:E1)+SUM(G$1:G1))/SUM(E$1:H1)</f>
        <v>1.2714690990289009E-3</v>
      </c>
    </row>
    <row r="15" spans="1:18" x14ac:dyDescent="0.25">
      <c r="B15" t="s">
        <v>10</v>
      </c>
      <c r="C15">
        <f>(SUM(I$1:I1)+SUM(K$1:K1))/SUM(I$1:L1)</f>
        <v>3.9794797165788003E-4</v>
      </c>
      <c r="F15" t="s">
        <v>10</v>
      </c>
      <c r="G15">
        <f>(SUM(M$1:M1)+SUM(O$1:O1))/SUM(M$1:P1)</f>
        <v>1.2725679936255742E-3</v>
      </c>
    </row>
    <row r="16" spans="1:18" x14ac:dyDescent="0.25">
      <c r="B16" t="s">
        <v>11</v>
      </c>
      <c r="C16">
        <f>(SUM(A$1:A1)+SUM(C$1:C1)+SUM(I$1:I1)+SUM(K$1:K1))/(SUM(A$1:D1)+SUM(I$1:L1))</f>
        <v>4.0439380606134052E-4</v>
      </c>
      <c r="F16" t="s">
        <v>11</v>
      </c>
      <c r="G16">
        <f>(SUM(E$1:E1)+SUM(G$1:G1)+SUM(M$1:M1)+SUM(O$1:O1))/(SUM(E$1:H1)+SUM(M$1:P1))</f>
        <v>1.2720185592233781E-3</v>
      </c>
    </row>
    <row r="17" spans="1:13" x14ac:dyDescent="0.25">
      <c r="B17" t="s">
        <v>8</v>
      </c>
      <c r="C17">
        <f>(C14-C15)/((C16*(1-C16)*(1/$D3+1/$H3))^(1/2))</f>
        <v>2.3446700742121642</v>
      </c>
      <c r="F17" t="s">
        <v>8</v>
      </c>
      <c r="G17">
        <f>(G14-G15)/((G16*(1-G16)*(1/$D3+1/$H3))^(1/2))</f>
        <v>-0.1127810826676017</v>
      </c>
    </row>
    <row r="18" spans="1:13" x14ac:dyDescent="0.25">
      <c r="B18" t="s">
        <v>9</v>
      </c>
      <c r="C18">
        <f>(1-_xlfn.NORM.DIST(ABS(C17),0,1,TRUE))*2</f>
        <v>1.904392286177492E-2</v>
      </c>
      <c r="F18" t="s">
        <v>9</v>
      </c>
      <c r="G18">
        <f>(1-_xlfn.NORM.DIST(ABS(G17),0,1,TRUE))*2</f>
        <v>0.91020411648634436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0.50013284310264616</v>
      </c>
      <c r="J24" t="s">
        <v>7</v>
      </c>
      <c r="K24">
        <f>SUM(A$1:D1)/(SUM(A$1:D1)+SUM(I$1:L1))</f>
        <v>0.50018831414195764</v>
      </c>
    </row>
    <row r="25" spans="1:13" x14ac:dyDescent="0.25">
      <c r="B25" t="s">
        <v>10</v>
      </c>
      <c r="C25">
        <f>SUM(I$1:L1)/SUM(I$1:P1)</f>
        <v>0.49993279339793439</v>
      </c>
      <c r="J25" t="s">
        <v>10</v>
      </c>
      <c r="K25">
        <f>SUM(E$1:H1)/(SUM(E$1:H1)+SUM(M$1:P1))</f>
        <v>0.49998826444262157</v>
      </c>
    </row>
    <row r="26" spans="1:13" x14ac:dyDescent="0.25">
      <c r="B26" t="s">
        <v>11</v>
      </c>
      <c r="C26">
        <f>(SUM(A$1:D1)+SUM(I$1:L1))/SUM(A$1:P1)</f>
        <v>0.50003283591385128</v>
      </c>
      <c r="J26" t="s">
        <v>11</v>
      </c>
      <c r="K26">
        <f>(SUM(A$1:D1)+SUM(E$1:H1))/SUM(A$1:P1)</f>
        <v>0.50008829586110426</v>
      </c>
    </row>
    <row r="27" spans="1:13" x14ac:dyDescent="0.25">
      <c r="B27" t="s">
        <v>8</v>
      </c>
      <c r="C27">
        <f>(C24-C25)/((C26*(1-C26)*(1/SUM(A$1:H1)+1/SUM(I$1:P1)))^(1/2))</f>
        <v>2.0696415223721072</v>
      </c>
      <c r="J27" t="s">
        <v>8</v>
      </c>
      <c r="K27">
        <f>(K24-K25)/((K26*(1-K26)*(1/(SUM(A$1:D1)+SUM(I$1:L1))+1/(SUM(E$1:H1)+SUM(M$1:P1))))^(1/2))</f>
        <v>2.0696415223721618</v>
      </c>
    </row>
    <row r="28" spans="1:13" x14ac:dyDescent="0.25">
      <c r="B28" t="s">
        <v>9</v>
      </c>
      <c r="C28">
        <f>(1-_xlfn.NORM.DIST(ABS(C27),0,1,TRUE))*2</f>
        <v>3.8485926647037427E-2</v>
      </c>
      <c r="J28" t="s">
        <v>9</v>
      </c>
      <c r="K28">
        <f>(1-_xlfn.NORM.DIST(ABS(K27),0,1,TRUE))*2</f>
        <v>3.848592664703232E-2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0.50008829586110426</v>
      </c>
      <c r="E32">
        <f>(D32-1/2)*2*((SUM(A$1:P1))^(1/2))</f>
        <v>1.8269537874455692</v>
      </c>
      <c r="F32">
        <f>(1-_xlfn.NORM.DIST(ABS(E32),0,1,TRUE))*2</f>
        <v>6.770671797864436E-2</v>
      </c>
      <c r="I32" t="s">
        <v>21</v>
      </c>
      <c r="K32">
        <f>(SUM(A$1:D1)+SUM(I$1:L1))/SUM(A$1:P1)</f>
        <v>0.50003283591385128</v>
      </c>
      <c r="L32">
        <f>(K32-1/2)*2*((SUM(A$1:P1))^(1/2))</f>
        <v>0.67941686534999746</v>
      </c>
      <c r="M32">
        <f>(1-_xlfn.NORM.DIST(ABS(L32),0,1,TRUE))*2</f>
        <v>0.49687376669093597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2015-10-15T20:51:35Z</dcterms:modified>
</cp:coreProperties>
</file>